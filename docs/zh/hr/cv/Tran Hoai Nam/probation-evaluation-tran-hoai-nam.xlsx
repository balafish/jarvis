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ation Evaluation Form" sheetId="1" r:id="rId4"/>
  </sheets>
  <definedNames/>
  <calcPr/>
  <extLst>
    <ext uri="GoogleSheetsCustomDataVersion2">
      <go:sheetsCustomData xmlns:go="http://customooxmlschemas.google.com/" r:id="rId5" roundtripDataChecksum="y88NXDeBeH9gAJiYAOAR8Zi4ONLAIEmZ9emCcPsrc3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4">
      <text>
        <t xml:space="preserve">======
ID#AAAB2x1mLj0
Hoai Nam Tran    (2026-03-30 01:57:46)
change from task:
Define minimum test coverage standard
- Propose a coverage target with current baseline data
- Incremental approach, not all-at-once</t>
      </text>
    </comment>
    <comment authorId="0" ref="B33">
      <text>
        <t xml:space="preserve">======
ID#AAAB2x1mLjw
Hoai Nam Tran    (2026-03-30 01:57:06)
Test tools: CodeRabbit, GitHub Copilot Review
Create a comparison sheet covering:
Pricing
Feedback quality
Strengths &amp; weaknesses
Run a pilot during one sprint and collect real team feedback</t>
      </text>
    </comment>
    <comment authorId="0" ref="B32">
      <text>
        <t xml:space="preserve">======
ID#AAAB2x1mLjs
Hoai Nam Tran    (2026-03-30 01:56:30)
Change from this task:
Git Flow SOP v1.0
- Branch naming / PR review flow / merge rules
- Pilot on one project first, not a full rollout</t>
      </text>
    </comment>
  </commentList>
  <extLst>
    <ext uri="GoogleSheetsCustomDataVersion2">
      <go:sheetsCustomData xmlns:go="http://customooxmlschemas.google.com/" r:id="rId1" roundtripDataSignature="AMtx7mjpMoNmKncwlKE3E2wGKAu1JRf+EQ=="/>
    </ext>
  </extLst>
</comments>
</file>

<file path=xl/sharedStrings.xml><?xml version="1.0" encoding="utf-8"?>
<sst xmlns="http://schemas.openxmlformats.org/spreadsheetml/2006/main" count="74" uniqueCount="55">
  <si>
    <t xml:space="preserve">PROBATION EVALUATION FORM
</t>
  </si>
  <si>
    <t>Employee Information</t>
  </si>
  <si>
    <t>Employee Name: Tran Hoai Nam</t>
  </si>
  <si>
    <t>Position: Technical Lead</t>
  </si>
  <si>
    <t>Department: RnD</t>
  </si>
  <si>
    <t>Evaluation Date:</t>
  </si>
  <si>
    <t>Evaluator(s): Ryan</t>
  </si>
  <si>
    <t>Ratings</t>
  </si>
  <si>
    <t xml:space="preserve">Guideline for scoring </t>
  </si>
  <si>
    <t>A. Attendance &amp; Work Discipline (10%)</t>
  </si>
  <si>
    <t>Poor / Unacceptable</t>
  </si>
  <si>
    <t>Attendance &amp; Punctuality</t>
  </si>
  <si>
    <t>[input]</t>
  </si>
  <si>
    <t>Below Expectations</t>
  </si>
  <si>
    <t>Policy &amp; Rule Compliance</t>
  </si>
  <si>
    <t>Meets Minimum Expectations</t>
  </si>
  <si>
    <t xml:space="preserve">Comments: </t>
  </si>
  <si>
    <t>Good / Potential for Growth</t>
  </si>
  <si>
    <t>Outstanding / Exceptional</t>
  </si>
  <si>
    <t>B. Job Performance &amp; Key Responsibilities (70%)</t>
  </si>
  <si>
    <t>(To be filled by evaluator on the date of onboarding; manager to observe and assess during probation)</t>
  </si>
  <si>
    <t>Responsibilty</t>
  </si>
  <si>
    <t>Score (0-10)</t>
  </si>
  <si>
    <t>1. Onboarding &amp; Assessment</t>
  </si>
  <si>
    <t>① Current State Assessment Report (3–5 pages)
  - Siraya system status &amp; risk areas
  - TOMO AI HR codebase initial observations
  - Team's current dev workflow pain points</t>
  </si>
  <si>
    <t xml:space="preserve">Next steps: Presentation abt Siraya &amp; Tomo status </t>
  </si>
  <si>
    <t>② Complete Siraya project knowledge transfer
  - Finish module-by-module walkthrough with Luan
  - Be able to explain the system architecture independently</t>
  </si>
  <si>
    <t>Other Comments:</t>
  </si>
  <si>
    <t>2. Establish Standards &amp; Run Pilots</t>
  </si>
  <si>
    <t>③ Define AI-Integrated Project Template
- Create a standard project template that embeds AI across the full lifecycle:
   Requirements → Development → Code Review → Testing → Release
- Ensure the template is practical and reusable for future projects</t>
  </si>
  <si>
    <t>④ AI Code Review tool pilot
  - Tool comparison sheet (2–3 options)
  - Run a pilot for one sprint, collect team feedback</t>
  </si>
  <si>
    <t>⑤ Gradual AI Adoption Plan: 
- Share findings and best practices with the team
- Start applying AI step-by-step:
   Coding → Code Review → Testing
- Gather feedback and iterate on the process</t>
  </si>
  <si>
    <t>3. Demonstrate Leadership</t>
  </si>
  <si>
    <t>⑥ TOMO AI HR architecture assessment &amp; technical roadmap
  - High-level architecture diagram
  - Technical priorities for the next 3–6 months</t>
  </si>
  <si>
    <t>⑦ Host one internal tech sharing session
  - Topic of choice (Vibe Coding / AI tools / architecture design)
  - Focus: ability to drive discussion, not just present</t>
  </si>
  <si>
    <t>⑧ Sprint management process up and running
  - Planning / standup / retro workflow established
  - At least one complete sprint cycle executed</t>
  </si>
  <si>
    <t>C. Soft Skills &amp; Others (20%)</t>
  </si>
  <si>
    <t>Communication</t>
  </si>
  <si>
    <t>Teamwork</t>
  </si>
  <si>
    <t>Problem-Solving</t>
  </si>
  <si>
    <t>Adaptability</t>
  </si>
  <si>
    <t xml:space="preserve">Comments:  </t>
  </si>
  <si>
    <t>D. Additional Qualifications &amp; Plus Points (+10%)</t>
  </si>
  <si>
    <t>Yes/No</t>
  </si>
  <si>
    <t>Completed Training Programs</t>
  </si>
  <si>
    <t>Additional Languages</t>
  </si>
  <si>
    <t>Exceeded Job Expectations</t>
  </si>
  <si>
    <t>Demonstrated Leadership</t>
  </si>
  <si>
    <t>Positive Attitude &amp; Growth</t>
  </si>
  <si>
    <t>Overall</t>
  </si>
  <si>
    <t>Additional Notes:</t>
  </si>
  <si>
    <t>Final Recommendation:</t>
  </si>
  <si>
    <t>☐ Confirm Employment                                   ☐ Terminate Employment</t>
  </si>
  <si>
    <t>Evaluator’s Signature:</t>
  </si>
  <si>
    <t>Date: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</si>
</sst>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\-d"/>
    <numFmt numFmtId="165" formatCode="0.0"/>
    <numFmt numFmtId="166" formatCode="&quot;$&quot;#,##0.00"/>
  </numFmts>
  <fonts count="12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theme="1"/>
      <name val="Times New Roman"/>
    </font>
    <font>
      <b/>
      <sz val="14.0"/>
      <color theme="1"/>
      <name val="Times New Roman"/>
    </font>
    <font/>
    <font>
      <sz val="14.0"/>
      <color theme="1"/>
      <name val="Times New Roman"/>
    </font>
    <font>
      <sz val="13.0"/>
      <color theme="1"/>
      <name val="Times New Roman"/>
    </font>
    <font>
      <sz val="14.0"/>
      <color rgb="FFFF0000"/>
      <name val="Times New Roman"/>
    </font>
    <font>
      <i/>
      <sz val="14.0"/>
      <color theme="1"/>
      <name val="Times New Roman"/>
    </font>
    <font>
      <b/>
      <i/>
      <sz val="14.0"/>
      <color theme="1"/>
      <name val="Times New Roman"/>
    </font>
    <font>
      <b/>
      <sz val="14.0"/>
      <color rgb="FFFF0000"/>
      <name val="Times New Roman"/>
    </font>
    <font>
      <sz val="14.0"/>
      <color rgb="FF00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F1F3"/>
        <bgColor rgb="FFD9F1F3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27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/>
    </border>
    <border>
      <right style="medium">
        <color rgb="FF000000"/>
      </right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2" numFmtId="0" xfId="0" applyBorder="1" applyFont="1"/>
    <xf borderId="7" fillId="0" fontId="2" numFmtId="0" xfId="0" applyAlignment="1" applyBorder="1" applyFont="1">
      <alignment horizontal="center" vertical="center"/>
    </xf>
    <xf borderId="0" fillId="0" fontId="3" numFmtId="0" xfId="0" applyFont="1"/>
    <xf borderId="8" fillId="4" fontId="3" numFmtId="0" xfId="0" applyAlignment="1" applyBorder="1" applyFill="1" applyFont="1">
      <alignment horizontal="left"/>
    </xf>
    <xf borderId="9" fillId="0" fontId="4" numFmtId="0" xfId="0" applyBorder="1" applyFont="1"/>
    <xf borderId="0" fillId="0" fontId="5" numFmtId="0" xfId="0" applyFont="1"/>
    <xf borderId="6" fillId="0" fontId="5" numFmtId="0" xfId="0" applyBorder="1" applyFont="1"/>
    <xf borderId="0" fillId="0" fontId="5" numFmtId="0" xfId="0" applyAlignment="1" applyFont="1">
      <alignment horizontal="center"/>
    </xf>
    <xf borderId="10" fillId="4" fontId="3" numFmtId="0" xfId="0" applyAlignment="1" applyBorder="1" applyFont="1">
      <alignment horizontal="left"/>
    </xf>
    <xf borderId="11" fillId="0" fontId="4" numFmtId="0" xfId="0" applyBorder="1" applyFont="1"/>
    <xf borderId="12" fillId="0" fontId="3" numFmtId="0" xfId="0" applyAlignment="1" applyBorder="1" applyFont="1">
      <alignment horizontal="center" vertical="center"/>
    </xf>
    <xf borderId="13" fillId="0" fontId="4" numFmtId="0" xfId="0" applyBorder="1" applyFont="1"/>
    <xf borderId="14" fillId="5" fontId="3" numFmtId="0" xfId="0" applyBorder="1" applyFill="1" applyFont="1"/>
    <xf borderId="15" fillId="5" fontId="3" numFmtId="0" xfId="0" applyAlignment="1" applyBorder="1" applyFont="1">
      <alignment horizontal="center" vertical="center"/>
    </xf>
    <xf borderId="16" fillId="0" fontId="6" numFmtId="164" xfId="0" applyAlignment="1" applyBorder="1" applyFont="1" applyNumberFormat="1">
      <alignment horizontal="center" vertical="center"/>
    </xf>
    <xf borderId="16" fillId="0" fontId="6" numFmtId="0" xfId="0" applyAlignment="1" applyBorder="1" applyFont="1">
      <alignment horizontal="left" vertical="center"/>
    </xf>
    <xf quotePrefix="1" borderId="17" fillId="2" fontId="5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horizontal="center" vertical="center"/>
    </xf>
    <xf borderId="1" fillId="5" fontId="5" numFmtId="0" xfId="0" applyBorder="1" applyFont="1"/>
    <xf borderId="1" fillId="5" fontId="2" numFmtId="0" xfId="0" applyBorder="1" applyFont="1"/>
    <xf borderId="16" fillId="0" fontId="6" numFmtId="0" xfId="0" applyAlignment="1" applyBorder="1" applyFont="1">
      <alignment horizontal="center" vertical="center"/>
    </xf>
    <xf borderId="6" fillId="0" fontId="5" numFmtId="0" xfId="0" applyAlignment="1" applyBorder="1" applyFont="1">
      <alignment shrinkToFit="0" vertical="center" wrapText="1"/>
    </xf>
    <xf borderId="7" fillId="0" fontId="4" numFmtId="0" xfId="0" applyBorder="1" applyFont="1"/>
    <xf borderId="6" fillId="0" fontId="4" numFmtId="0" xfId="0" applyBorder="1" applyFont="1"/>
    <xf borderId="15" fillId="5" fontId="3" numFmtId="165" xfId="0" applyAlignment="1" applyBorder="1" applyFont="1" applyNumberFormat="1">
      <alignment horizontal="center" vertical="center"/>
    </xf>
    <xf borderId="18" fillId="0" fontId="8" numFmtId="0" xfId="0" applyAlignment="1" applyBorder="1" applyFont="1">
      <alignment horizontal="center" shrinkToFit="0" wrapText="1"/>
    </xf>
    <xf borderId="19" fillId="0" fontId="4" numFmtId="0" xfId="0" applyBorder="1" applyFont="1"/>
    <xf borderId="6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 vertical="center"/>
    </xf>
    <xf borderId="17" fillId="6" fontId="9" numFmtId="0" xfId="0" applyAlignment="1" applyBorder="1" applyFill="1" applyFont="1">
      <alignment horizontal="left" shrinkToFit="0" vertical="center" wrapText="1"/>
    </xf>
    <xf borderId="20" fillId="6" fontId="3" numFmtId="0" xfId="0" applyAlignment="1" applyBorder="1" applyFont="1">
      <alignment horizontal="center" vertical="center"/>
    </xf>
    <xf borderId="17" fillId="2" fontId="5" numFmtId="0" xfId="0" applyAlignment="1" applyBorder="1" applyFont="1">
      <alignment shrinkToFit="0" vertical="center" wrapText="1"/>
    </xf>
    <xf quotePrefix="1" borderId="0" fillId="0" fontId="2" numFmtId="0" xfId="0" applyAlignment="1" applyFont="1">
      <alignment horizontal="center" shrinkToFit="0" vertical="center" wrapText="1"/>
    </xf>
    <xf borderId="21" fillId="2" fontId="5" numFmtId="0" xfId="0" applyAlignment="1" applyBorder="1" applyFont="1">
      <alignment horizontal="left" shrinkToFit="0" vertical="center" wrapText="1"/>
    </xf>
    <xf borderId="22" fillId="0" fontId="4" numFmtId="0" xfId="0" applyBorder="1" applyFont="1"/>
    <xf borderId="17" fillId="6" fontId="9" numFmtId="0" xfId="0" applyBorder="1" applyFont="1"/>
    <xf quotePrefix="1" borderId="17" fillId="7" fontId="5" numFmtId="0" xfId="0" applyAlignment="1" applyBorder="1" applyFill="1" applyFont="1">
      <alignment readingOrder="0" shrinkToFit="0" vertical="center" wrapText="1"/>
    </xf>
    <xf borderId="20" fillId="2" fontId="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2" numFmtId="0" xfId="0" applyAlignment="1" applyFont="1">
      <alignment vertical="center"/>
    </xf>
    <xf borderId="17" fillId="6" fontId="9" numFmtId="0" xfId="0" applyAlignment="1" applyBorder="1" applyFont="1">
      <alignment shrinkToFit="0" vertical="center" wrapText="1"/>
    </xf>
    <xf borderId="6" fillId="0" fontId="5" numFmtId="0" xfId="0" applyAlignment="1" applyBorder="1" applyFont="1">
      <alignment horizontal="center"/>
    </xf>
    <xf borderId="7" fillId="0" fontId="5" numFmtId="0" xfId="0" applyAlignment="1" applyBorder="1" applyFont="1">
      <alignment horizontal="center" vertical="center"/>
    </xf>
    <xf borderId="23" fillId="0" fontId="4" numFmtId="0" xfId="0" applyBorder="1" applyFont="1"/>
    <xf borderId="24" fillId="0" fontId="4" numFmtId="0" xfId="0" applyBorder="1" applyFont="1"/>
    <xf borderId="23" fillId="0" fontId="5" numFmtId="0" xfId="0" applyBorder="1" applyFont="1"/>
    <xf borderId="14" fillId="3" fontId="10" numFmtId="0" xfId="0" applyBorder="1" applyFont="1"/>
    <xf borderId="15" fillId="3" fontId="10" numFmtId="2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horizontal="left" shrinkToFit="0" vertical="top" wrapText="1"/>
    </xf>
    <xf borderId="6" fillId="0" fontId="3" numFmtId="0" xfId="0" applyBorder="1" applyFont="1"/>
    <xf borderId="6" fillId="0" fontId="11" numFmtId="166" xfId="0" applyBorder="1" applyFont="1" applyNumberFormat="1"/>
    <xf borderId="25" fillId="0" fontId="5" numFmtId="0" xfId="0" applyBorder="1" applyFont="1"/>
    <xf borderId="26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114300</xdr:rowOff>
    </xdr:from>
    <xdr:ext cx="1743075" cy="657225"/>
    <xdr:pic>
      <xdr:nvPicPr>
        <xdr:cNvPr descr="A logo with a blue and grey logo&#10;&#10;AI-generated content may be incorrect.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5.0" topLeftCell="B16" activePane="bottomRight" state="frozen"/>
      <selection activeCell="B1" sqref="B1" pane="topRight"/>
      <selection activeCell="A16" sqref="A16" pane="bottomLeft"/>
      <selection activeCell="B16" sqref="B16" pane="bottomRight"/>
    </sheetView>
  </sheetViews>
  <sheetFormatPr customHeight="1" defaultColWidth="12.63" defaultRowHeight="15.0"/>
  <cols>
    <col customWidth="1" min="1" max="1" width="4.5"/>
    <col customWidth="1" min="2" max="2" width="84.5"/>
    <col customWidth="1" min="3" max="3" width="23.5"/>
    <col customWidth="1" min="4" max="5" width="12.5"/>
    <col customWidth="1" min="6" max="6" width="31.75"/>
    <col customWidth="1" min="7" max="26" width="12.5"/>
  </cols>
  <sheetData>
    <row r="1">
      <c r="C1" s="1"/>
    </row>
    <row r="2">
      <c r="C2" s="1"/>
    </row>
    <row r="3">
      <c r="C3" s="1"/>
    </row>
    <row r="4">
      <c r="C4" s="1"/>
    </row>
    <row r="5" ht="15.0" customHeight="1">
      <c r="C5" s="1"/>
      <c r="E5" s="2"/>
      <c r="F5" s="2"/>
    </row>
    <row r="6" ht="15.75" customHeight="1">
      <c r="A6" s="3"/>
      <c r="B6" s="4" t="s">
        <v>0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75" customHeight="1">
      <c r="A7" s="3"/>
      <c r="B7" s="6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8"/>
      <c r="C8" s="9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0"/>
      <c r="B9" s="11" t="s">
        <v>1</v>
      </c>
      <c r="C9" s="1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hidden="1" customHeight="1">
      <c r="A10" s="13"/>
      <c r="B10" s="14"/>
      <c r="C10" s="9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hidden="1" customHeight="1">
      <c r="A11" s="13"/>
      <c r="B11" s="14" t="s">
        <v>2</v>
      </c>
      <c r="C11" s="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hidden="1" customHeight="1">
      <c r="A12" s="13"/>
      <c r="B12" s="14" t="s">
        <v>3</v>
      </c>
      <c r="C12" s="9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hidden="1" customHeight="1">
      <c r="A13" s="13"/>
      <c r="B13" s="14" t="s">
        <v>4</v>
      </c>
      <c r="C13" s="9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hidden="1" customHeight="1">
      <c r="A14" s="13"/>
      <c r="B14" s="14" t="s">
        <v>5</v>
      </c>
      <c r="C14" s="9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hidden="1" customHeight="1">
      <c r="A15" s="13"/>
      <c r="B15" s="14" t="s">
        <v>6</v>
      </c>
      <c r="C15" s="9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hidden="1" customHeight="1">
      <c r="A16" s="13"/>
      <c r="B16" s="14"/>
      <c r="C16" s="9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5"/>
      <c r="B17" s="16" t="s">
        <v>7</v>
      </c>
      <c r="C17" s="17"/>
      <c r="D17" s="2"/>
      <c r="E17" s="18" t="s">
        <v>8</v>
      </c>
      <c r="F17" s="1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3"/>
      <c r="B18" s="20" t="s">
        <v>9</v>
      </c>
      <c r="C18" s="21" t="str">
        <f>AVERAGE(C19:C20)</f>
        <v>#DIV/0!</v>
      </c>
      <c r="D18" s="2"/>
      <c r="E18" s="22">
        <v>45660.0</v>
      </c>
      <c r="F18" s="23" t="s">
        <v>10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3"/>
      <c r="B19" s="24" t="s">
        <v>11</v>
      </c>
      <c r="C19" s="25" t="s">
        <v>12</v>
      </c>
      <c r="D19" s="2"/>
      <c r="E19" s="22">
        <v>45752.0</v>
      </c>
      <c r="F19" s="23" t="s">
        <v>13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6"/>
      <c r="B20" s="24" t="s">
        <v>14</v>
      </c>
      <c r="C20" s="25" t="s">
        <v>12</v>
      </c>
      <c r="D20" s="27"/>
      <c r="E20" s="28">
        <v>6.0</v>
      </c>
      <c r="F20" s="23" t="s">
        <v>15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13"/>
      <c r="B21" s="29" t="s">
        <v>16</v>
      </c>
      <c r="C21" s="30"/>
      <c r="D21" s="2"/>
      <c r="E21" s="22">
        <v>45846.0</v>
      </c>
      <c r="F21" s="23" t="s">
        <v>17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3"/>
      <c r="B22" s="31"/>
      <c r="C22" s="30"/>
      <c r="D22" s="2"/>
      <c r="E22" s="22">
        <v>45910.0</v>
      </c>
      <c r="F22" s="23" t="s">
        <v>18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6"/>
      <c r="B23" s="31"/>
      <c r="C23" s="30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10"/>
      <c r="B24" s="20" t="s">
        <v>19</v>
      </c>
      <c r="C24" s="32" t="str">
        <f>AVERAGE(C27,C31,C36)</f>
        <v>#DIV/0!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6.5" customHeight="1">
      <c r="A25" s="13"/>
      <c r="B25" s="33" t="s">
        <v>20</v>
      </c>
      <c r="C25" s="34"/>
      <c r="D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0" customHeight="1">
      <c r="A26" s="15"/>
      <c r="B26" s="35" t="s">
        <v>21</v>
      </c>
      <c r="C26" s="36" t="s">
        <v>22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0.75" customHeight="1">
      <c r="A27" s="13"/>
      <c r="B27" s="37" t="s">
        <v>23</v>
      </c>
      <c r="C27" s="38" t="str">
        <f>AVERAGE(C28:C29)</f>
        <v>#DIV/0!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85.5" customHeight="1">
      <c r="A28" s="13"/>
      <c r="B28" s="39" t="s">
        <v>24</v>
      </c>
      <c r="C28" s="25" t="s">
        <v>12</v>
      </c>
      <c r="D28" s="2"/>
      <c r="E28" s="40" t="s">
        <v>25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74.25" customHeight="1">
      <c r="A29" s="13"/>
      <c r="B29" s="39" t="s">
        <v>26</v>
      </c>
      <c r="C29" s="25" t="s">
        <v>12</v>
      </c>
      <c r="D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63.0" customHeight="1">
      <c r="A30" s="13"/>
      <c r="B30" s="41" t="s">
        <v>27</v>
      </c>
      <c r="C30" s="4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0" customHeight="1">
      <c r="A31" s="13"/>
      <c r="B31" s="43" t="s">
        <v>28</v>
      </c>
      <c r="C31" s="38" t="str">
        <f>AVERAGE(C32:C34)</f>
        <v>#DIV/0!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6.75" customHeight="1">
      <c r="A32" s="13"/>
      <c r="B32" s="44" t="s">
        <v>29</v>
      </c>
      <c r="C32" s="45"/>
      <c r="D32" s="2"/>
      <c r="E32" s="46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5.75" customHeight="1">
      <c r="A33" s="13"/>
      <c r="B33" s="24" t="s">
        <v>30</v>
      </c>
      <c r="C33" s="45"/>
      <c r="D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87.75" customHeight="1">
      <c r="A34" s="13"/>
      <c r="B34" s="44" t="s">
        <v>31</v>
      </c>
      <c r="C34" s="45"/>
      <c r="D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72.75" customHeight="1">
      <c r="A35" s="47"/>
      <c r="B35" s="41" t="s">
        <v>27</v>
      </c>
      <c r="C35" s="42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ht="33.75" customHeight="1">
      <c r="A36" s="13"/>
      <c r="B36" s="49" t="s">
        <v>32</v>
      </c>
      <c r="C36" s="38" t="str">
        <f>AVERAGE(C37:C39)</f>
        <v>#DIV/0!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74.25" customHeight="1">
      <c r="A37" s="13"/>
      <c r="B37" s="39" t="s">
        <v>33</v>
      </c>
      <c r="C37" s="25" t="s">
        <v>12</v>
      </c>
      <c r="D37" s="2"/>
      <c r="E37" s="46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67.5" customHeight="1">
      <c r="A38" s="13"/>
      <c r="B38" s="29" t="s">
        <v>34</v>
      </c>
      <c r="C38" s="25" t="s">
        <v>12</v>
      </c>
      <c r="D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customHeight="1">
      <c r="A39" s="13"/>
      <c r="B39" s="39" t="s">
        <v>35</v>
      </c>
      <c r="C39" s="25" t="s">
        <v>12</v>
      </c>
      <c r="D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55.5" customHeight="1">
      <c r="A40" s="13"/>
      <c r="B40" s="41" t="s">
        <v>27</v>
      </c>
      <c r="C40" s="4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3"/>
      <c r="B41" s="20" t="s">
        <v>36</v>
      </c>
      <c r="C41" s="21" t="str">
        <f>AVERAGE(C43:C46)</f>
        <v>#DIV/0!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15"/>
      <c r="B42" s="50"/>
      <c r="C42" s="51" t="s">
        <v>22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13"/>
      <c r="B43" s="14" t="s">
        <v>37</v>
      </c>
      <c r="C43" s="25" t="s">
        <v>12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13"/>
      <c r="B44" s="14" t="s">
        <v>38</v>
      </c>
      <c r="C44" s="25" t="s">
        <v>12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13"/>
      <c r="B45" s="14" t="s">
        <v>39</v>
      </c>
      <c r="C45" s="25" t="s">
        <v>12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13"/>
      <c r="B46" s="14" t="s">
        <v>40</v>
      </c>
      <c r="C46" s="25" t="s">
        <v>12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2.25" customHeight="1">
      <c r="A47" s="13"/>
      <c r="B47" s="29" t="s">
        <v>41</v>
      </c>
      <c r="C47" s="30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6.0" customHeight="1">
      <c r="A48" s="13"/>
      <c r="B48" s="31"/>
      <c r="C48" s="30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6.75" customHeight="1">
      <c r="A49" s="13"/>
      <c r="B49" s="52"/>
      <c r="C49" s="5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3"/>
      <c r="B50" s="20" t="s">
        <v>42</v>
      </c>
      <c r="C50" s="2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5"/>
      <c r="B51" s="50"/>
      <c r="C51" s="51" t="s">
        <v>43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3"/>
      <c r="B52" s="14" t="s">
        <v>44</v>
      </c>
      <c r="C52" s="25" t="s">
        <v>12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3"/>
      <c r="B53" s="14" t="s">
        <v>45</v>
      </c>
      <c r="C53" s="25" t="s">
        <v>12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3"/>
      <c r="B54" s="14" t="s">
        <v>46</v>
      </c>
      <c r="C54" s="25" t="s">
        <v>12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3"/>
      <c r="B55" s="14" t="s">
        <v>47</v>
      </c>
      <c r="C55" s="25" t="s">
        <v>12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3"/>
      <c r="B56" s="54" t="s">
        <v>48</v>
      </c>
      <c r="C56" s="25" t="s">
        <v>12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3"/>
      <c r="B57" s="55" t="s">
        <v>49</v>
      </c>
      <c r="C57" s="56" t="str">
        <f>(C18*10%+C24*70%+C41*20%)</f>
        <v>#DIV/0!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1.5" customHeight="1">
      <c r="A58" s="47"/>
      <c r="B58" s="57" t="s">
        <v>50</v>
      </c>
      <c r="C58" s="30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ht="26.25" customHeight="1">
      <c r="A59" s="47"/>
      <c r="B59" s="31"/>
      <c r="C59" s="30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ht="15.75" customHeight="1">
      <c r="A60" s="13"/>
      <c r="B60" s="14"/>
      <c r="C60" s="9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3"/>
      <c r="B61" s="58" t="s">
        <v>51</v>
      </c>
      <c r="C61" s="25" t="s">
        <v>12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3"/>
      <c r="B62" s="14"/>
      <c r="C62" s="9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3"/>
      <c r="B63" s="59" t="s">
        <v>52</v>
      </c>
      <c r="C63" s="9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3"/>
      <c r="B64" s="14"/>
      <c r="C64" s="9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3"/>
      <c r="B65" s="14"/>
      <c r="C65" s="9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3"/>
      <c r="B66" s="14" t="s">
        <v>53</v>
      </c>
      <c r="C66" s="9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3"/>
      <c r="B67" s="60" t="s">
        <v>54</v>
      </c>
      <c r="C67" s="6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3"/>
      <c r="B68" s="13"/>
      <c r="C68" s="6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6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6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6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6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6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6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6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6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6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6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6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6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6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6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6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6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6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6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6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6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6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6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6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6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6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6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6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6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6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6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6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6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6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6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6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6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6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6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6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6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6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6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6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6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6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6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6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6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6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6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6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6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6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6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6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6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6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6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6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6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6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6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6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6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6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6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6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6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6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6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6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6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6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6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6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6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6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6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6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6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6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6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6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6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6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6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6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6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6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6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6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6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6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6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6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6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6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6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6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6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6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6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6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6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6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6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6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6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6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6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6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6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6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6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6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6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6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6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6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6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6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6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6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6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6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6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6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6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6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6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6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6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6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6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6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6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6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6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6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6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6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6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6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6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6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6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6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6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6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6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6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6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6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6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6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6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6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6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6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6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6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6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6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6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6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6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6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6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6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6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6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6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6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6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6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6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6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6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6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6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6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6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6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6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6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6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6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6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6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6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6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6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6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6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6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6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6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6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6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  <row r="1001" ht="15.75" customHeight="1">
      <c r="C1001" s="1"/>
    </row>
    <row r="1002" ht="15.75" customHeight="1">
      <c r="C1002" s="1"/>
    </row>
    <row r="1003" ht="15.75" customHeight="1">
      <c r="C1003" s="1"/>
    </row>
    <row r="1004" ht="15.75" customHeight="1">
      <c r="C1004" s="1"/>
    </row>
    <row r="1005" ht="15.75" customHeight="1">
      <c r="C1005" s="1"/>
    </row>
    <row r="1006" ht="15.75" customHeight="1">
      <c r="C1006" s="1"/>
    </row>
    <row r="1007" ht="15.75" customHeight="1">
      <c r="C1007" s="1"/>
    </row>
    <row r="1008" ht="15.75" customHeight="1">
      <c r="C1008" s="1"/>
    </row>
    <row r="1009">
      <c r="C1009" s="63"/>
    </row>
    <row r="1010">
      <c r="C1010" s="63"/>
    </row>
    <row r="1011">
      <c r="C1011" s="63"/>
    </row>
    <row r="1012">
      <c r="C1012" s="63"/>
    </row>
  </sheetData>
  <mergeCells count="14">
    <mergeCell ref="E28:F29"/>
    <mergeCell ref="E32:F34"/>
    <mergeCell ref="E37:F39"/>
    <mergeCell ref="B35:C35"/>
    <mergeCell ref="B40:C40"/>
    <mergeCell ref="B47:C49"/>
    <mergeCell ref="B58:C59"/>
    <mergeCell ref="B6:C7"/>
    <mergeCell ref="B9:C9"/>
    <mergeCell ref="B17:C17"/>
    <mergeCell ref="E17:F17"/>
    <mergeCell ref="B21:C23"/>
    <mergeCell ref="B25:C25"/>
    <mergeCell ref="B30:C30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