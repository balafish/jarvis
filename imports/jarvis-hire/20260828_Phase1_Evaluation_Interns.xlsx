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shortcut-targets-by-id\1oKLm3qqxueOGHHdpOqqJ5Aq8eIrNqB_1\Jarvis Hire\Internship\Evaluation\"/>
    </mc:Choice>
  </mc:AlternateContent>
  <xr:revisionPtr revIDLastSave="0" documentId="13_ncr:1_{B51FF3B8-98F5-418C-9076-9B9209117210}" xr6:coauthVersionLast="47" xr6:coauthVersionMax="47" xr10:uidLastSave="{00000000-0000-0000-0000-000000000000}"/>
  <bookViews>
    <workbookView xWindow="-120" yWindow="-120" windowWidth="29040" windowHeight="15720" activeTab="6" xr2:uid="{00000000-000D-0000-FFFF-FFFF00000000}"/>
  </bookViews>
  <sheets>
    <sheet name="Summary" sheetId="8" r:id="rId1"/>
    <sheet name="Duong-MTK" sheetId="4" r:id="rId2"/>
    <sheet name="Duong_Task Report" sheetId="5" r:id="rId3"/>
    <sheet name="Minh-Business" sheetId="6" r:id="rId4"/>
    <sheet name="Minh_Task Report" sheetId="7" r:id="rId5"/>
    <sheet name="Lam-MKT" sheetId="1" r:id="rId6"/>
    <sheet name="Lam_Task Report" sheetId="2" r:id="rId7"/>
  </sheets>
  <externalReferences>
    <externalReference r:id="rId8"/>
  </externalReferences>
  <definedNames>
    <definedName name="_xlnm.Print_Area" localSheetId="1">'Duong-MTK'!$A$1:$K$256</definedName>
    <definedName name="_xlnm.Print_Area" localSheetId="5">'Lam-MKT'!$A$1:$K$42</definedName>
    <definedName name="_xlnm.Print_Area" localSheetId="4">'Minh_Task Report'!$A$1:$G$44</definedName>
    <definedName name="_xlnm.Print_Area" localSheetId="3">'Minh-Business'!$A$1:$K$48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cv1EMgBnV28B9uJ/zkgu7ezyoZnxPs0+Zd2/qPV4sXY="/>
    </ext>
  </extLst>
</workbook>
</file>

<file path=xl/calcChain.xml><?xml version="1.0" encoding="utf-8"?>
<calcChain xmlns="http://schemas.openxmlformats.org/spreadsheetml/2006/main">
  <c r="D8" i="8" l="1"/>
  <c r="C8" i="8"/>
  <c r="D7" i="8"/>
  <c r="C7" i="8"/>
  <c r="D6" i="8"/>
  <c r="C6" i="8"/>
  <c r="B6" i="8"/>
  <c r="B8" i="8"/>
  <c r="B7" i="8"/>
  <c r="A6" i="8"/>
  <c r="A7" i="8"/>
  <c r="E6" i="8"/>
  <c r="E8" i="8"/>
  <c r="E7" i="8"/>
  <c r="A8" i="8"/>
  <c r="G31" i="1"/>
  <c r="J20" i="1"/>
  <c r="G31" i="4"/>
  <c r="J20" i="6"/>
  <c r="J20" i="4"/>
  <c r="E29" i="4"/>
  <c r="F28" i="6"/>
  <c r="F27" i="6"/>
  <c r="F26" i="6"/>
  <c r="F25" i="6"/>
  <c r="F24" i="6"/>
  <c r="F28" i="1"/>
  <c r="F27" i="1"/>
  <c r="F26" i="1"/>
  <c r="F25" i="1"/>
  <c r="F24" i="1"/>
  <c r="E29" i="1" s="1"/>
  <c r="E29" i="6" l="1"/>
  <c r="G31" i="6" s="1"/>
</calcChain>
</file>

<file path=xl/sharedStrings.xml><?xml version="1.0" encoding="utf-8"?>
<sst xmlns="http://schemas.openxmlformats.org/spreadsheetml/2006/main" count="419" uniqueCount="217">
  <si>
    <t>🎯  JARVIS HIRE — Growth Marketing Intern</t>
  </si>
  <si>
    <t>KPI Tracker &amp; Performance Evaluation | Phase 1 Internship</t>
  </si>
  <si>
    <t>Intern Name:</t>
  </si>
  <si>
    <t>Nguyen Phuong Lam</t>
  </si>
  <si>
    <t>Manager:</t>
  </si>
  <si>
    <t>Tran Hoai Nam</t>
  </si>
  <si>
    <t>Period:</t>
  </si>
  <si>
    <t>Position:</t>
  </si>
  <si>
    <t>Growth Marketing Intern</t>
  </si>
  <si>
    <t>Date of Review:</t>
  </si>
  <si>
    <t>28/08/2026</t>
  </si>
  <si>
    <t>KPI Metric</t>
  </si>
  <si>
    <t>Weight</t>
  </si>
  <si>
    <t>Target</t>
  </si>
  <si>
    <t>Jul</t>
  </si>
  <si>
    <t>Aug</t>
  </si>
  <si>
    <t xml:space="preserve"> Actual</t>
  </si>
  <si>
    <t>Score (0–5)</t>
  </si>
  <si>
    <t>Notes</t>
  </si>
  <si>
    <t>Score 5 ✅  (Exceptional)</t>
  </si>
  <si>
    <t>Score 3 ⚠  (Satisfactory)</t>
  </si>
  <si>
    <t>Score 1 ❌  (Not Met)</t>
  </si>
  <si>
    <t>Task Completion Rate — % tasks completed to spec</t>
  </si>
  <si>
    <t>Consistently completes tasks on schedule.</t>
  </si>
  <si>
    <t>≥ 5 experiments; hypothesis, results, and learnings documented</t>
  </si>
  <si>
    <t>3–4 experiments; basic documentation</t>
  </si>
  <si>
    <t>&lt; 2 experiments or no clear hypothesis</t>
  </si>
  <si>
    <t>Employer Persona + Funnel Map</t>
  </si>
  <si>
    <t>Define Jarvis Hire's target customer persona, and produce content that attracts and engages users.</t>
  </si>
  <si>
    <t>Create content that raises user awareness of Chinese-language recruitment needs, reinforcing Jarvis Hire's professional brand image.</t>
  </si>
  <si>
    <t>Focus on the pain points Jarvis Hire solves, and prepare ad campaigns for next month.</t>
  </si>
  <si>
    <t>90/100</t>
  </si>
  <si>
    <t xml:space="preserve">Content and content strategy are strong, carefully executed
</t>
  </si>
  <si>
    <t>≥ 10 conversations; best channel identified</t>
  </si>
  <si>
    <t>5–9 conversations; optimizing channels</t>
  </si>
  <si>
    <t>&lt; 5 conversations; no clear effective channel</t>
  </si>
  <si>
    <t>Employer Pain Points + Brief content</t>
  </si>
  <si>
    <t>Clearly articulates the problems Jarvis Hire solves around Chinese-language (Mandarin) recruitment and hiring.</t>
  </si>
  <si>
    <t>Builds out a framework of key pain points in Chinese-language recruitment</t>
  </si>
  <si>
    <t>Presents the solutions: AI-powered matching, reduced hiring time, and candidate screening supported by Jarvis Hire's team.</t>
  </si>
  <si>
    <t>≥ 3 tests; clear results applied to next iteration</t>
  </si>
  <si>
    <t>1–2 tests; results available but not yet applied</t>
  </si>
  <si>
    <t>0–1 test; no basis for comparison</t>
  </si>
  <si>
    <t>Employer Acquisition Plan</t>
  </si>
  <si>
    <t>Plan to target potential employer customers on LinkedIn.</t>
  </si>
  <si>
    <t>Build LinkedIn content and connect with HR managers.</t>
  </si>
  <si>
    <t>Continue connecting with HR managers, keep building content for Jarvis Hire, and plan for ads.</t>
  </si>
  <si>
    <t>Has clear direction and executes the plan fully and thoroughly.</t>
  </si>
  <si>
    <t>4/4 reports on time; actionable insights adopted by team</t>
  </si>
  <si>
    <t>2–3/4 reports; insights present but incomplete</t>
  </si>
  <si>
    <t>&lt; 2 reports or frequently submitted late</t>
  </si>
  <si>
    <t>Weekly Experiment Report</t>
  </si>
  <si>
    <t>Submits complete reports on a weekly basis.</t>
  </si>
  <si>
    <t>Provides thorough progress reports, and proactively proposes ongoing tasks and plans.</t>
  </si>
  <si>
    <t>Delivers weekly experiment results showing what worked and what didn't. Also involved in the candidate care process.</t>
  </si>
  <si>
    <t>Reports are thorough and complete. Actively and proactively proposes revised approaches when needed.</t>
  </si>
  <si>
    <t>TOTAL WEIGHT</t>
  </si>
  <si>
    <t>100%</t>
  </si>
  <si>
    <t>SECTION 2 — COMPETENCY EVALUATION (Manager Assessment)</t>
  </si>
  <si>
    <t>Competency</t>
  </si>
  <si>
    <t>Description</t>
  </si>
  <si>
    <t>Score (1–5)</t>
  </si>
  <si>
    <t>Weighted Score</t>
  </si>
  <si>
    <t>Evidence / Comments</t>
  </si>
  <si>
    <t>Experimentation Mindset &amp; Speed</t>
  </si>
  <si>
    <t>25%</t>
  </si>
  <si>
    <t>Proactively proposes and runs experiments without waiting for direction.</t>
  </si>
  <si>
    <t>Shows initiative and adaptability — proactively experiments with new approaches when facing unfamiliar problems to find solutions, and regularly proposes ideas rather than waiting to be assigned.</t>
  </si>
  <si>
    <t>Proactively finds opportunities; runs parallel experiments</t>
  </si>
  <si>
    <t>Executes when assigned; achieves basic results</t>
  </si>
  <si>
    <t>Requires detailed direction before executing</t>
  </si>
  <si>
    <t>Output Quality &amp; Structure</t>
  </si>
  <si>
    <t>Doc/Sheet fully informative, clear, and immediately usable</t>
  </si>
  <si>
    <t>Plans and documents are clear and well-structured, making it easy for anyone following up to get up to speed quickly.</t>
  </si>
  <si>
    <t>Writes high-converting copy independently; adjusts tone by channel</t>
  </si>
  <si>
    <t>Copy meets requirements; minor edits needed</t>
  </si>
  <si>
    <t>Generic copy; no channel differentiation</t>
  </si>
  <si>
    <t>Data Interpretation &amp; Decision-making</t>
  </si>
  <si>
    <t>20%</t>
  </si>
  <si>
    <t>Reads data correctly, extracts insights, and proposes next actions.</t>
  </si>
  <si>
    <t>Applies data effectively to guide day-to-day work, and uses it to inform content proposals and creation.</t>
  </si>
  <si>
    <t>Independently analyzes and proposes evidence-based recommendations</t>
  </si>
  <si>
    <t>Analyzes with support; insights correct but not deep</t>
  </si>
  <si>
    <t>Struggles to read data; needs step-by-step guidance</t>
  </si>
  <si>
    <t>Self-direction &amp; Proactiveness</t>
  </si>
  <si>
    <t>15%</t>
  </si>
  <si>
    <t>Does not need detailed manager direction; self-manages time.</t>
  </si>
  <si>
    <t>Highly proactive across both self-driven and assigned work — manages tasks independently without needing detailed step-by-step direction.</t>
  </si>
  <si>
    <t>Always knows the next step; reports before being asked</t>
  </si>
  <si>
    <t>Works well but needs frequent check-ins</t>
  </si>
  <si>
    <t>Frequently waits for direction; lacks initiative</t>
  </si>
  <si>
    <t>AI Tool Adoption in Growth Workflow</t>
  </si>
  <si>
    <t>Uses AI for copy creation, analysis, summaries — at least 3 tasks/week.</t>
  </si>
  <si>
    <t>Uses Claude effectively across day-to-day tasks as well as weekly reporting.</t>
  </si>
  <si>
    <t>AI deeply integrated into workflow; clearly saves time</t>
  </si>
  <si>
    <t>Uses AI but not systematically</t>
  </si>
  <si>
    <t>Rarely uses AI; work not optimized</t>
  </si>
  <si>
    <t>TOTAL COMPETENCY SCORE</t>
  </si>
  <si>
    <t>Score out of 5.0 (weighted)</t>
  </si>
  <si>
    <t>SECTION 3 — RATING SCALE &amp; FINAL RECOMMENDATION</t>
  </si>
  <si>
    <t>5 — Exceptional</t>
  </si>
  <si>
    <t>Consistently exceeds all targets; proactive, reliable, high-impact</t>
  </si>
  <si>
    <t>4 — Strong</t>
  </si>
  <si>
    <t>Meets most targets; good execution with minor gaps</t>
  </si>
  <si>
    <t>3 — Satisfactory</t>
  </si>
  <si>
    <t>Meets baseline; needs coaching on some areas</t>
  </si>
  <si>
    <t>2 — Developing</t>
  </si>
  <si>
    <t>Below target in key areas; requires structured improvement plan</t>
  </si>
  <si>
    <t>1 — Unsatisfactory</t>
  </si>
  <si>
    <t>Significant gaps; continuation requires manager approval</t>
  </si>
  <si>
    <t>Final Recommendation:</t>
  </si>
  <si>
    <t>[x] Extend Internship    [ ] Full-time Offer    [ ] Performance Plan    [ ] End Internship</t>
  </si>
  <si>
    <t>Manager Signature:</t>
  </si>
  <si>
    <t>Date:</t>
  </si>
  <si>
    <t xml:space="preserve">28/08/2026								</t>
  </si>
  <si>
    <t>Pham Thuy Duong</t>
  </si>
  <si>
    <t>Candidate Persona + Funnel Map</t>
  </si>
  <si>
    <t>Clearly depicts the candidate persona; funnel-map content that attracts candidates.</t>
  </si>
  <si>
    <t>Built out Threads and Facebook content, surfacing information for candidates around Chinese-language recruitment and the Chinese-language job market.</t>
  </si>
  <si>
    <t xml:space="preserve"> Identified viral trends on Threads to shape content, and produced related posts to attract candidates.</t>
  </si>
  <si>
    <t>Completed building candidate-facing content according to plan.</t>
  </si>
  <si>
    <t>Candidate Content Strategy + Content Plan</t>
  </si>
  <si>
    <t>Create engaging content for candidates to drive user sign-ups. target: 100 canididates signup</t>
  </si>
  <si>
    <t>Achieved viral posts on Threads that attracted users and drove candidate sign-ups.</t>
  </si>
  <si>
    <t>Continued producing viral posts, with a content plan to run ads targeting candidates' pain points in the job-search process.</t>
  </si>
  <si>
    <t>Completed content according to plan, and built out the initial content foundation for the Threads and Facebook channels.</t>
  </si>
  <si>
    <t>≥ 15% response rate; channel comparison report included</t>
  </si>
  <si>
    <t>8–14%; testing improvements</t>
  </si>
  <si>
    <t>&lt; 5%; suitable channel not yet found</t>
  </si>
  <si>
    <t>Candidate tracking template</t>
  </si>
  <si>
    <t>Track content performance based on traffic and CV uploads. Target: 80 CV uploads.</t>
  </si>
  <si>
    <t>Measured and experimented with tactics to go viral and attract users on Threads.</t>
  </si>
  <si>
    <t>Continued experimenting on Threads, and set up ad campaigns targeting candidates.</t>
  </si>
  <si>
    <t>80/100</t>
  </si>
  <si>
    <t>Tracked user growth to inform the plan for the following weeks.</t>
  </si>
  <si>
    <t>Submits complete weekly reports covering the issues encountered and the plan for the week.</t>
  </si>
  <si>
    <t>Weekly reports, along with proactively proposed marketing ideas.</t>
  </si>
  <si>
    <t>Provides complete weekly reports on tasks and progress.</t>
  </si>
  <si>
    <t>Has an experimental mindset — researches issues related to brand and marketing for the project.</t>
  </si>
  <si>
    <t>Maintains thorough statistics and weekly reports relevant to the work.</t>
  </si>
  <si>
    <t>Applies market, marketing, and trend data effectively to the work.</t>
  </si>
  <si>
    <t>Shows initiative in the work, though there's still room to grow in taking greater ownership and proactiveness.</t>
  </si>
  <si>
    <t>Effectively uses Claude and Canva AI tools in day-to-day work.</t>
  </si>
  <si>
    <t>🎯  JARVIS HIRE — Business Development Intern</t>
  </si>
  <si>
    <t>Hoang Gia Minh</t>
  </si>
  <si>
    <t>Jul 1 2026 - Aug 28 2026</t>
  </si>
  <si>
    <t>Business Development Intern</t>
  </si>
  <si>
    <t>≥ 35 contacts; full notes in CRM</t>
  </si>
  <si>
    <t>25–34 contacts; CRM updated</t>
  </si>
  <si>
    <t>&lt; 20 contacts or no CRM log</t>
  </si>
  <si>
    <t>Pain Points + Cold Scripts</t>
  </si>
  <si>
    <t>Identifies pain points and cold-outreach scripts for contacting customers.</t>
  </si>
  <si>
    <t>Tested outreach on a logistics-focused customer segment to pitch the service.</t>
  </si>
  <si>
    <t>Searched for and tested outreach to customers with urgent hiring needs on other platforms.</t>
  </si>
  <si>
    <t>Developed an outreach plan and contacted customers to pitch posting job listings with us.</t>
  </si>
  <si>
    <t>≥ 7 calls; correct target industry</t>
  </si>
  <si>
    <t>4–6 calls; acceptable quality</t>
  </si>
  <si>
    <t>&lt; 3 calls or not qualified</t>
  </si>
  <si>
    <t>CRM Setup + Sales Deck Finalize</t>
  </si>
  <si>
    <t>Set up CRM and finalized the sales deck to pitch the service to potential customers. Compiled a list of target companies and profiles to reach out to.</t>
  </si>
  <si>
    <t>Compiled a list of potential companies sourced from Facebook and Zalo recruitment groups, and reached out to them.</t>
  </si>
  <si>
    <t>Tested and refined the CRM to track and follow up with contacted companies, generating data to inform next actions.</t>
  </si>
  <si>
    <t>Completed the work and actively reached out to potential customers. Also gathered valuable feedback to help refine the product.</t>
  </si>
  <si>
    <t>≥ 20%; rejection reason analysis included</t>
  </si>
  <si>
    <t>12–19%; aware of improvement areas</t>
  </si>
  <si>
    <t>&lt; 10%; no reason tracking</t>
  </si>
  <si>
    <t>A plan to acquire customers for Jarvis Hire — targeting the first signed customer contract. Contact target: 100 leads</t>
  </si>
  <si>
    <t>Contacted 50 customers and gathered product feedback.</t>
  </si>
  <si>
    <t>Building on July's results, improve the outreach approach and continue contacting 50 new customers sourced from other platform markets.</t>
  </si>
  <si>
    <t>Proactive in outreach and customer prospecting. Still needs to improve planning and strategy for qualifying prospects when testing new customer segments.</t>
  </si>
  <si>
    <t>≥ 5 summaries; complete, actionable</t>
  </si>
  <si>
    <t>3–4 summaries; missing 1–2 items</t>
  </si>
  <si>
    <t>&lt; 3 summaries or missing significant information</t>
  </si>
  <si>
    <t>Delivers complete work reports along with next actions for each week.</t>
  </si>
  <si>
    <t>Delivers complete weekly reports covering work completed and work planned.</t>
  </si>
  <si>
    <t>Reports progress and also proposes ideas and plans while working toward acquiring the first customer.</t>
  </si>
  <si>
    <t xml:space="preserve"> Work reports are complete, timely, and clear. Could show more initiative in generating her own ideas for finding customers.</t>
  </si>
  <si>
    <t>0 dropped; clear follow-up system in place</t>
  </si>
  <si>
    <t>1–2 missed follow-ups; self-identified</t>
  </si>
  <si>
    <t>≥ 3 dropped leads or manager had to remind</t>
  </si>
  <si>
    <t>Brings ideas and planning to the work, and actively engages in customer outreach while experimenting with different approaches.</t>
  </si>
  <si>
    <t>Always completes before deadline; resolves blockers independently</t>
  </si>
  <si>
    <t>Completes when prompted; needs support</t>
  </si>
  <si>
    <t>Frequently late; requires close supervision</t>
  </si>
  <si>
    <t>Produces clear, well-organized documents and outputs for tracking work.</t>
  </si>
  <si>
    <t>Writes professional messages independently; high reply rate</t>
  </si>
  <si>
    <t>Messages acceptable but frequently need editing</t>
  </si>
  <si>
    <t>Generic messages; low reply rate</t>
  </si>
  <si>
    <t>Has developed ideas for collecting market data, researching, and testing approaches based on past customers to find new ones.</t>
  </si>
  <si>
    <t>CRM always complete; can report pipeline at any time</t>
  </si>
  <si>
    <t>CRM updated but slow or missing some fields</t>
  </si>
  <si>
    <t>CRM frequently incomplete; pipeline hard to track</t>
  </si>
  <si>
    <t>Shows a high level of initiative in the work — doesn't need overly detailed guidelines for day-to-day tasks.</t>
  </si>
  <si>
    <t>Adjusts immediately after 1 feedback; shows initiative</t>
  </si>
  <si>
    <t>Improves after 2–3 rounds of feedback</t>
  </si>
  <si>
    <t>Repeats mistakes despite multiple feedback sessions</t>
  </si>
  <si>
    <t>Applies AI tools in day-to-day work for outreach and data processing.</t>
  </si>
  <si>
    <t>AI integrated into workflow regularly; clearly improves efficiency</t>
  </si>
  <si>
    <t>Uses AI but inconsistently</t>
  </si>
  <si>
    <t>Rarely uses AI; no productivity improvement</t>
  </si>
  <si>
    <t>SECTION 1 — KPI TRACKER (Weekly / Monthly) - 70%</t>
  </si>
  <si>
    <t xml:space="preserve">SECTION 1 — KPI TRACKER (Weekly / Monthly) </t>
  </si>
  <si>
    <t>Other comments from HR</t>
  </si>
  <si>
    <r>
      <t xml:space="preserve">After 90 days, Duong has demonstrated a positive attitude, willingness to learn, and openness to challenging herself through new tasks and experiences. She has gained valuable hands-on experience in content, creativity, and candidate-related activities, although she currently sees her performance as meeting expectations and still needs more practical experience. Moving forward, she should focus on improving content effectiveness, understanding what drives engagement/virality, and developing stronger candidate-care skills. While the current role is only a partial career match, she is willing to adapt and explore areas that better align with her interest in research and creative work. Her next focus is to increase Jarvis's employee engagement and develop the TikTok channel. </t>
    </r>
    <r>
      <rPr>
        <b/>
        <sz val="11"/>
        <color theme="1"/>
        <rFont val="Calibri"/>
        <family val="2"/>
      </rPr>
      <t>=&gt; High potential but need close mentor, 50-50 committment</t>
    </r>
  </si>
  <si>
    <r>
      <t xml:space="preserve">After 90 days, Minh has shown a strong learning mindset, adaptability, and positive attitude. He has gained valuable hands-on experience in product development, customer outreach, branding, and real-market operations, with initial progress in generating deals. Moving forward, he should focus on improving conversion rates by expanding customer acquisition channels and contributing more directly to project revenue. The current role also supports his longer-term interest in Tech and his career goal of developing toward a PM/PO path. </t>
    </r>
    <r>
      <rPr>
        <b/>
        <sz val="11"/>
        <color theme="1"/>
        <rFont val="Calibri"/>
        <family val="2"/>
      </rPr>
      <t>=&gt; High potential but need close mentor and clear guidance</t>
    </r>
  </si>
  <si>
    <r>
      <t xml:space="preserve">After 90 days, Lam has shown strong adaptability, a positive learning mindset, and the ability to quickly take on new scopes beyond her MKT background, including TA activities. She has become more confident in prioritizing tasks, responding flexibly to real-market needs, and contributing ideas. Moving forward, she should focus on strengthening her design mindset and data-related skills, while gaining more hands-on experience and taking greater ownership of new scopes. Her next priorities are to expand the candidate pool and grow the Fanpage/Group through content and Ads activities. </t>
    </r>
    <r>
      <rPr>
        <b/>
        <sz val="11"/>
        <color theme="1"/>
        <rFont val="Calibri"/>
        <family val="2"/>
      </rPr>
      <t>=&gt; High Potential &amp; High Performance</t>
    </r>
  </si>
  <si>
    <t>JARVIS HIRE — Phase 1 Internship Evauation Summary</t>
  </si>
  <si>
    <t>Final Score (/5.0)</t>
  </si>
  <si>
    <t>Title</t>
  </si>
  <si>
    <t>Name</t>
  </si>
  <si>
    <t>Pass to Phase 2</t>
  </si>
  <si>
    <t>Yes</t>
  </si>
  <si>
    <t xml:space="preserve">	KPI (70%)</t>
  </si>
  <si>
    <t xml:space="preserve">	Competency (30%)</t>
  </si>
  <si>
    <t>Scoring</t>
  </si>
  <si>
    <t>Rating</t>
  </si>
  <si>
    <t>Strong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</si>
</sst>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scheme val="minor"/>
    </font>
    <font>
      <sz val="11"/>
      <color theme="1"/>
      <name val="Calibri"/>
      <family val="2"/>
      <scheme val="minor"/>
    </font>
    <font>
      <sz val="11"/>
      <color theme="1"/>
      <name val="Calibri"/>
    </font>
    <font>
      <b/>
      <sz val="16"/>
      <color rgb="FFFFFFFF"/>
      <name val="Arial"/>
    </font>
    <font>
      <sz val="11"/>
      <name val="Calibri"/>
    </font>
    <font>
      <i/>
      <sz val="10"/>
      <color rgb="FFFFFFFF"/>
      <name val="Arial"/>
    </font>
    <font>
      <b/>
      <sz val="10"/>
      <color rgb="FF1B3A6B"/>
      <name val="Arial"/>
    </font>
    <font>
      <sz val="10"/>
      <color rgb="FF000000"/>
      <name val="Arial"/>
    </font>
    <font>
      <sz val="10"/>
      <color theme="1"/>
      <name val="Arial"/>
    </font>
    <font>
      <b/>
      <sz val="11"/>
      <color rgb="FFFFFFFF"/>
      <name val="Arial"/>
    </font>
    <font>
      <b/>
      <sz val="10"/>
      <color rgb="FFFFFFFF"/>
      <name val="Arial"/>
    </font>
    <font>
      <b/>
      <sz val="10"/>
      <color rgb="FF000000"/>
      <name val="Arial"/>
    </font>
    <font>
      <b/>
      <i/>
      <sz val="10"/>
      <color rgb="FFFFFFFF"/>
      <name val="Arial"/>
    </font>
    <font>
      <b/>
      <sz val="10"/>
      <color theme="1"/>
      <name val="Arial"/>
    </font>
    <font>
      <sz val="11"/>
      <color theme="1"/>
      <name val="Calibri"/>
      <scheme val="minor"/>
    </font>
    <font>
      <sz val="11"/>
      <color theme="1"/>
      <name val="Calibri"/>
      <family val="2"/>
    </font>
    <font>
      <sz val="11"/>
      <color theme="1"/>
      <name val="Arial"/>
    </font>
    <font>
      <b/>
      <sz val="10"/>
      <color rgb="FFFF0000"/>
      <name val="Arial"/>
      <family val="2"/>
    </font>
    <font>
      <b/>
      <sz val="11"/>
      <color rgb="FFFFFFFF"/>
      <name val="Arial"/>
      <family val="2"/>
    </font>
    <font>
      <b/>
      <sz val="14"/>
      <color rgb="FFFFFFFF"/>
      <name val="Arial"/>
      <family val="2"/>
    </font>
    <font>
      <sz val="14"/>
      <color theme="1"/>
      <name val="Calibri"/>
      <family val="2"/>
    </font>
    <font>
      <sz val="14"/>
      <color theme="1"/>
      <name val="Calibri"/>
      <family val="2"/>
      <scheme val="minor"/>
    </font>
    <font>
      <sz val="10"/>
      <color rgb="FF000000"/>
      <name val="Arial"/>
      <family val="2"/>
    </font>
    <font>
      <b/>
      <sz val="11"/>
      <color theme="1"/>
      <name val="Calibri"/>
      <family val="2"/>
    </font>
    <font>
      <sz val="11"/>
      <color theme="1"/>
      <name val="Calibri"/>
      <charset val="1"/>
    </font>
    <font>
      <b/>
      <sz val="14"/>
      <color rgb="FF1F3864"/>
      <name val="Arial"/>
      <charset val="1"/>
    </font>
    <font>
      <i/>
      <sz val="10"/>
      <color rgb="FF595959"/>
      <name val="Arial"/>
      <charset val="1"/>
    </font>
    <font>
      <b/>
      <sz val="11"/>
      <color rgb="FFFFFFFF"/>
      <name val="Arial"/>
      <charset val="1"/>
    </font>
    <font>
      <sz val="11"/>
      <name val="Arial"/>
      <charset val="1"/>
    </font>
    <font>
      <b/>
      <sz val="11"/>
      <color rgb="FF1B3A6B"/>
      <name val="Arial"/>
      <family val="2"/>
    </font>
    <font>
      <sz val="11"/>
      <name val="Calibri"/>
      <family val="2"/>
    </font>
    <font>
      <sz val="11"/>
      <color rgb="FF000000"/>
      <name val="Arial"/>
      <family val="2"/>
    </font>
    <font>
      <sz val="11"/>
      <color theme="1"/>
      <name val="Arial"/>
      <family val="2"/>
    </font>
  </fonts>
  <fills count="13">
    <fill>
      <patternFill patternType="none"/>
    </fill>
    <fill>
      <patternFill patternType="gray125"/>
    </fill>
    <fill>
      <patternFill patternType="solid">
        <fgColor rgb="FF1B3A6B"/>
        <bgColor rgb="FF1B3A6B"/>
      </patternFill>
    </fill>
    <fill>
      <patternFill patternType="solid">
        <fgColor rgb="FF2E5FA3"/>
        <bgColor rgb="FF2E5FA3"/>
      </patternFill>
    </fill>
    <fill>
      <patternFill patternType="solid">
        <fgColor rgb="FFD6E4F7"/>
        <bgColor rgb="FFD6E4F7"/>
      </patternFill>
    </fill>
    <fill>
      <patternFill patternType="solid">
        <fgColor rgb="FFF5F5F5"/>
        <bgColor rgb="FFF5F5F5"/>
      </patternFill>
    </fill>
    <fill>
      <patternFill patternType="solid">
        <fgColor rgb="FFFFFF00"/>
        <bgColor rgb="FFFFFF00"/>
      </patternFill>
    </fill>
    <fill>
      <patternFill patternType="solid">
        <fgColor rgb="FFF2F4F8"/>
        <bgColor rgb="FFF2F4F8"/>
      </patternFill>
    </fill>
    <fill>
      <patternFill patternType="solid">
        <fgColor rgb="FFFFFFFF"/>
        <bgColor rgb="FFFFFFFF"/>
      </patternFill>
    </fill>
    <fill>
      <patternFill patternType="solid">
        <fgColor rgb="FFD4EDDA"/>
        <bgColor rgb="FFD4EDDA"/>
      </patternFill>
    </fill>
    <fill>
      <patternFill patternType="solid">
        <fgColor rgb="FFFFF3CD"/>
        <bgColor rgb="FFFFF3CD"/>
      </patternFill>
    </fill>
    <fill>
      <patternFill patternType="solid">
        <fgColor rgb="FFF8D7DA"/>
        <bgColor rgb="FFF8D7DA"/>
      </patternFill>
    </fill>
    <fill>
      <patternFill patternType="solid">
        <fgColor rgb="FF1F3864"/>
        <bgColor rgb="FF1B3A6B"/>
      </patternFill>
    </fill>
  </fills>
  <borders count="27">
    <border>
      <left/>
      <right/>
      <top/>
      <bottom/>
      <diagonal/>
    </border>
    <border>
      <left/>
      <right/>
      <top/>
      <bottom/>
      <diagonal/>
    </border>
    <border>
      <left/>
      <right/>
      <top/>
      <bottom/>
      <diagonal/>
    </border>
    <border>
      <left/>
      <right/>
      <top/>
      <bottom/>
      <diagonal/>
    </border>
    <border>
      <left/>
      <right style="thin">
        <color rgb="FFAAAAAA"/>
      </right>
      <top/>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BBBBBB"/>
      </left>
      <right style="thin">
        <color rgb="FFBBBBBB"/>
      </right>
      <top style="thin">
        <color rgb="FFBBBBBB"/>
      </top>
      <bottom style="thin">
        <color rgb="FFBBBBBB"/>
      </bottom>
      <diagonal/>
    </border>
    <border>
      <left/>
      <right style="thin">
        <color rgb="FFAAAAAA"/>
      </right>
      <top style="thin">
        <color rgb="FFAAAAAA"/>
      </top>
      <bottom/>
      <diagonal/>
    </border>
    <border>
      <left/>
      <right/>
      <top/>
      <bottom/>
      <diagonal/>
    </border>
    <border>
      <left/>
      <right/>
      <top style="thin">
        <color rgb="FFAAAAAA"/>
      </top>
      <bottom/>
      <diagonal/>
    </border>
    <border>
      <left/>
      <right style="thin">
        <color rgb="FFAAAAAA"/>
      </right>
      <top style="thin">
        <color rgb="FFAAAAAA"/>
      </top>
      <bottom/>
      <diagonal/>
    </border>
    <border>
      <left/>
      <right/>
      <top/>
      <bottom style="thin">
        <color rgb="FFBFBFBF"/>
      </bottom>
      <diagonal/>
    </border>
    <border>
      <left/>
      <right style="thin">
        <color rgb="FFAAAAAA"/>
      </right>
      <top/>
      <bottom style="thin">
        <color rgb="FFBFBFBF"/>
      </bottom>
      <diagonal/>
    </border>
    <border>
      <left style="thin">
        <color rgb="FFAAAAAA"/>
      </left>
      <right/>
      <top style="thin">
        <color rgb="FFAAAAAA"/>
      </top>
      <bottom style="thin">
        <color rgb="FFBFBFBF"/>
      </bottom>
      <diagonal/>
    </border>
    <border>
      <left/>
      <right style="thin">
        <color rgb="FFAAAAAA"/>
      </right>
      <top style="thin">
        <color rgb="FFAAAAAA"/>
      </top>
      <bottom style="thin">
        <color rgb="FFBFBFBF"/>
      </bottom>
      <diagonal/>
    </border>
    <border>
      <left style="thin">
        <color rgb="FFAAAAAA"/>
      </left>
      <right/>
      <top/>
      <bottom style="thin">
        <color rgb="FFBFBFBF"/>
      </bottom>
      <diagonal/>
    </border>
    <border>
      <left style="thin">
        <color indexed="64"/>
      </left>
      <right style="thin">
        <color indexed="64"/>
      </right>
      <top style="thin">
        <color indexed="64"/>
      </top>
      <bottom style="thin">
        <color indexed="64"/>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thin">
        <color rgb="FFB7B7B7"/>
      </top>
      <bottom/>
      <diagonal/>
    </border>
    <border>
      <left style="thin">
        <color rgb="FFB7B7B7"/>
      </left>
      <right style="thin">
        <color rgb="FFB7B7B7"/>
      </right>
      <top/>
      <bottom style="thin">
        <color rgb="FFB7B7B7"/>
      </bottom>
      <diagonal/>
    </border>
    <border>
      <left style="thin">
        <color rgb="FFB7B7B7"/>
      </left>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6">
    <xf numFmtId="0" fontId="0" fillId="0" borderId="0"/>
    <xf numFmtId="9" fontId="14" fillId="0" borderId="0" applyFont="0" applyFill="0" applyBorder="0" applyAlignment="0" applyProtection="0"/>
    <xf numFmtId="0" fontId="14" fillId="0" borderId="12"/>
    <xf numFmtId="0" fontId="24" fillId="0" borderId="12"/>
    <xf numFmtId="0" fontId="24" fillId="0" borderId="12"/>
    <xf numFmtId="9" fontId="24" fillId="0" borderId="12"/>
  </cellStyleXfs>
  <cellXfs count="142">
    <xf numFmtId="0" fontId="0" fillId="0" borderId="0" xfId="0"/>
    <xf numFmtId="0" fontId="2" fillId="0" borderId="0" xfId="0" applyFont="1"/>
    <xf numFmtId="0" fontId="8" fillId="0" borderId="0" xfId="0" applyFont="1"/>
    <xf numFmtId="0" fontId="10" fillId="2" borderId="8" xfId="0" applyFont="1" applyFill="1" applyBorder="1" applyAlignment="1">
      <alignment horizontal="center" vertical="center" wrapText="1"/>
    </xf>
    <xf numFmtId="0" fontId="10" fillId="2" borderId="10" xfId="0" applyFont="1" applyFill="1" applyBorder="1" applyAlignment="1">
      <alignment horizontal="center" vertical="center" wrapText="1"/>
    </xf>
    <xf numFmtId="0" fontId="11" fillId="5" borderId="8" xfId="0" applyFont="1" applyFill="1" applyBorder="1" applyAlignment="1">
      <alignment horizontal="center" vertical="center" wrapText="1"/>
    </xf>
    <xf numFmtId="0" fontId="11" fillId="5" borderId="8" xfId="0" applyFont="1" applyFill="1" applyBorder="1" applyAlignment="1">
      <alignment horizontal="left" vertical="center" wrapText="1"/>
    </xf>
    <xf numFmtId="9" fontId="7" fillId="5" borderId="8" xfId="0" applyNumberFormat="1" applyFont="1" applyFill="1" applyBorder="1" applyAlignment="1">
      <alignment horizontal="center" vertical="center" wrapText="1"/>
    </xf>
    <xf numFmtId="0" fontId="7" fillId="6" borderId="8" xfId="0" applyFont="1" applyFill="1" applyBorder="1" applyAlignment="1">
      <alignment horizontal="center" vertical="center" wrapText="1"/>
    </xf>
    <xf numFmtId="0" fontId="7" fillId="5" borderId="8" xfId="0" applyFont="1" applyFill="1" applyBorder="1" applyAlignment="1">
      <alignment horizontal="center" vertical="center" wrapText="1"/>
    </xf>
    <xf numFmtId="0" fontId="7" fillId="7" borderId="10" xfId="0" applyFont="1" applyFill="1" applyBorder="1" applyAlignment="1">
      <alignment horizontal="left" vertical="center" wrapText="1"/>
    </xf>
    <xf numFmtId="0" fontId="11" fillId="8" borderId="8" xfId="0" applyFont="1" applyFill="1" applyBorder="1" applyAlignment="1">
      <alignment horizontal="center" vertical="center" wrapText="1"/>
    </xf>
    <xf numFmtId="0" fontId="11" fillId="8" borderId="8" xfId="0" applyFont="1" applyFill="1" applyBorder="1" applyAlignment="1">
      <alignment horizontal="left" vertical="center" wrapText="1"/>
    </xf>
    <xf numFmtId="9" fontId="7" fillId="8" borderId="8" xfId="0" applyNumberFormat="1" applyFont="1" applyFill="1" applyBorder="1" applyAlignment="1">
      <alignment horizontal="center" vertical="center" wrapText="1"/>
    </xf>
    <xf numFmtId="0" fontId="7" fillId="8" borderId="8" xfId="0" applyFont="1" applyFill="1" applyBorder="1" applyAlignment="1">
      <alignment horizontal="center" vertical="center" wrapText="1"/>
    </xf>
    <xf numFmtId="0" fontId="7" fillId="8" borderId="10" xfId="0" applyFont="1" applyFill="1" applyBorder="1" applyAlignment="1">
      <alignment horizontal="left" vertical="center" wrapText="1"/>
    </xf>
    <xf numFmtId="0" fontId="11" fillId="5" borderId="11" xfId="0" applyFont="1" applyFill="1" applyBorder="1" applyAlignment="1">
      <alignment horizontal="center" vertical="center" wrapText="1"/>
    </xf>
    <xf numFmtId="0" fontId="7" fillId="7" borderId="12" xfId="0" applyFont="1" applyFill="1" applyBorder="1" applyAlignment="1">
      <alignment horizontal="left" vertical="center" wrapText="1"/>
    </xf>
    <xf numFmtId="0" fontId="11" fillId="7" borderId="10" xfId="0" applyFont="1" applyFill="1" applyBorder="1" applyAlignment="1">
      <alignment horizontal="center" vertical="center" wrapText="1"/>
    </xf>
    <xf numFmtId="0" fontId="11" fillId="7" borderId="10" xfId="0" applyFont="1" applyFill="1" applyBorder="1" applyAlignment="1">
      <alignment horizontal="left" vertical="center" wrapText="1"/>
    </xf>
    <xf numFmtId="0" fontId="7" fillId="7" borderId="10" xfId="0" applyFont="1" applyFill="1" applyBorder="1" applyAlignment="1">
      <alignment horizontal="center" vertical="center" wrapText="1"/>
    </xf>
    <xf numFmtId="0" fontId="2" fillId="6" borderId="8" xfId="0" applyFont="1" applyFill="1" applyBorder="1" applyAlignment="1">
      <alignment horizontal="center" vertical="center" wrapText="1"/>
    </xf>
    <xf numFmtId="0" fontId="11" fillId="8" borderId="10" xfId="0" applyFont="1" applyFill="1" applyBorder="1" applyAlignment="1">
      <alignment horizontal="center" vertical="center" wrapText="1"/>
    </xf>
    <xf numFmtId="0" fontId="11" fillId="8" borderId="10" xfId="0" applyFont="1" applyFill="1" applyBorder="1" applyAlignment="1">
      <alignment horizontal="left" vertical="center" wrapText="1"/>
    </xf>
    <xf numFmtId="0" fontId="7" fillId="8" borderId="10"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2" fillId="0" borderId="12" xfId="2" applyFont="1"/>
    <xf numFmtId="0" fontId="14" fillId="0" borderId="12" xfId="2"/>
    <xf numFmtId="0" fontId="8" fillId="0" borderId="12" xfId="2" applyFont="1"/>
    <xf numFmtId="0" fontId="10" fillId="2" borderId="8" xfId="2" applyFont="1" applyFill="1" applyBorder="1" applyAlignment="1">
      <alignment horizontal="center" vertical="center" wrapText="1"/>
    </xf>
    <xf numFmtId="0" fontId="10" fillId="2" borderId="10" xfId="2" applyFont="1" applyFill="1" applyBorder="1" applyAlignment="1">
      <alignment horizontal="center" vertical="center" wrapText="1"/>
    </xf>
    <xf numFmtId="0" fontId="11" fillId="5" borderId="8" xfId="2" applyFont="1" applyFill="1" applyBorder="1" applyAlignment="1">
      <alignment horizontal="center" vertical="center" wrapText="1"/>
    </xf>
    <xf numFmtId="0" fontId="11" fillId="5" borderId="8" xfId="2" applyFont="1" applyFill="1" applyBorder="1" applyAlignment="1">
      <alignment horizontal="left" vertical="center" wrapText="1"/>
    </xf>
    <xf numFmtId="9" fontId="7" fillId="5" borderId="8" xfId="2" applyNumberFormat="1" applyFont="1" applyFill="1" applyBorder="1" applyAlignment="1">
      <alignment horizontal="center" vertical="center" wrapText="1"/>
    </xf>
    <xf numFmtId="0" fontId="7" fillId="6" borderId="8" xfId="2" applyFont="1" applyFill="1" applyBorder="1" applyAlignment="1">
      <alignment horizontal="center" vertical="center" wrapText="1"/>
    </xf>
    <xf numFmtId="0" fontId="7" fillId="5" borderId="8" xfId="2" applyFont="1" applyFill="1" applyBorder="1" applyAlignment="1">
      <alignment horizontal="center" vertical="center" wrapText="1"/>
    </xf>
    <xf numFmtId="0" fontId="7" fillId="7" borderId="10" xfId="2" applyFont="1" applyFill="1" applyBorder="1" applyAlignment="1">
      <alignment horizontal="left" vertical="center" wrapText="1"/>
    </xf>
    <xf numFmtId="0" fontId="11" fillId="8" borderId="8" xfId="2" applyFont="1" applyFill="1" applyBorder="1" applyAlignment="1">
      <alignment horizontal="center" vertical="center" wrapText="1"/>
    </xf>
    <xf numFmtId="0" fontId="11" fillId="8" borderId="8" xfId="2" applyFont="1" applyFill="1" applyBorder="1" applyAlignment="1">
      <alignment horizontal="left" vertical="center" wrapText="1"/>
    </xf>
    <xf numFmtId="9" fontId="7" fillId="8" borderId="8" xfId="2" applyNumberFormat="1" applyFont="1" applyFill="1" applyBorder="1" applyAlignment="1">
      <alignment horizontal="center" vertical="center" wrapText="1"/>
    </xf>
    <xf numFmtId="0" fontId="7" fillId="8" borderId="8" xfId="2" applyFont="1" applyFill="1" applyBorder="1" applyAlignment="1">
      <alignment horizontal="center" vertical="center" wrapText="1"/>
    </xf>
    <xf numFmtId="0" fontId="7" fillId="8" borderId="10" xfId="2" applyFont="1" applyFill="1" applyBorder="1" applyAlignment="1">
      <alignment horizontal="left" vertical="center" wrapText="1"/>
    </xf>
    <xf numFmtId="0" fontId="11" fillId="7" borderId="10" xfId="2" applyFont="1" applyFill="1" applyBorder="1" applyAlignment="1">
      <alignment horizontal="center" vertical="center" wrapText="1"/>
    </xf>
    <xf numFmtId="0" fontId="11" fillId="7" borderId="10" xfId="2" applyFont="1" applyFill="1" applyBorder="1" applyAlignment="1">
      <alignment horizontal="left" vertical="center" wrapText="1"/>
    </xf>
    <xf numFmtId="0" fontId="7" fillId="7" borderId="10" xfId="2" applyFont="1" applyFill="1" applyBorder="1" applyAlignment="1">
      <alignment horizontal="center" vertical="center" wrapText="1"/>
    </xf>
    <xf numFmtId="0" fontId="2" fillId="6" borderId="8" xfId="2" applyFont="1" applyFill="1" applyBorder="1" applyAlignment="1">
      <alignment horizontal="center" vertical="center" wrapText="1"/>
    </xf>
    <xf numFmtId="0" fontId="11" fillId="8" borderId="10" xfId="2" applyFont="1" applyFill="1" applyBorder="1" applyAlignment="1">
      <alignment horizontal="center" vertical="center" wrapText="1"/>
    </xf>
    <xf numFmtId="0" fontId="11" fillId="8" borderId="10" xfId="2" applyFont="1" applyFill="1" applyBorder="1" applyAlignment="1">
      <alignment horizontal="left" vertical="center" wrapText="1"/>
    </xf>
    <xf numFmtId="0" fontId="7" fillId="8" borderId="10" xfId="2" applyFont="1" applyFill="1" applyBorder="1" applyAlignment="1">
      <alignment horizontal="center" vertical="center" wrapText="1"/>
    </xf>
    <xf numFmtId="0" fontId="9" fillId="2" borderId="8" xfId="2" applyFont="1" applyFill="1" applyBorder="1" applyAlignment="1">
      <alignment horizontal="center" vertical="center" wrapText="1"/>
    </xf>
    <xf numFmtId="0" fontId="16" fillId="5" borderId="8" xfId="2" applyFont="1" applyFill="1" applyBorder="1" applyAlignment="1">
      <alignment horizontal="center" vertical="center" wrapText="1"/>
    </xf>
    <xf numFmtId="0" fontId="16" fillId="8" borderId="8" xfId="2" applyFont="1" applyFill="1" applyBorder="1" applyAlignment="1">
      <alignment horizontal="center" vertical="center" wrapText="1"/>
    </xf>
    <xf numFmtId="0" fontId="17" fillId="5" borderId="8" xfId="2" applyFont="1" applyFill="1" applyBorder="1" applyAlignment="1">
      <alignment horizontal="center" vertical="center" wrapText="1"/>
    </xf>
    <xf numFmtId="0" fontId="18" fillId="3" borderId="12" xfId="2" applyFont="1" applyFill="1" applyAlignment="1">
      <alignment vertical="center" wrapText="1"/>
    </xf>
    <xf numFmtId="9" fontId="18" fillId="3" borderId="12" xfId="1" applyFont="1" applyFill="1" applyBorder="1" applyAlignment="1">
      <alignment vertical="center" wrapText="1"/>
    </xf>
    <xf numFmtId="0" fontId="20" fillId="0" borderId="12" xfId="2" applyFont="1"/>
    <xf numFmtId="0" fontId="21" fillId="0" borderId="12" xfId="2" applyFont="1"/>
    <xf numFmtId="2" fontId="17" fillId="5" borderId="8" xfId="2" applyNumberFormat="1" applyFont="1" applyFill="1" applyBorder="1" applyAlignment="1">
      <alignment horizontal="center" vertical="center" wrapText="1"/>
    </xf>
    <xf numFmtId="0" fontId="24" fillId="0" borderId="12" xfId="3"/>
    <xf numFmtId="0" fontId="27" fillId="12" borderId="21" xfId="3" applyFont="1" applyFill="1" applyBorder="1" applyAlignment="1">
      <alignment horizontal="center" vertical="center" wrapText="1"/>
    </xf>
    <xf numFmtId="0" fontId="28" fillId="0" borderId="21" xfId="3" applyFont="1" applyBorder="1" applyAlignment="1">
      <alignment horizontal="left" vertical="center"/>
    </xf>
    <xf numFmtId="2" fontId="28" fillId="0" borderId="21" xfId="3" applyNumberFormat="1" applyFont="1" applyBorder="1" applyAlignment="1">
      <alignment horizontal="center" vertical="center"/>
    </xf>
    <xf numFmtId="0" fontId="28" fillId="0" borderId="21" xfId="3" applyFont="1" applyBorder="1" applyAlignment="1">
      <alignment horizontal="center" vertical="center"/>
    </xf>
    <xf numFmtId="0" fontId="26" fillId="0" borderId="12" xfId="3" applyFont="1"/>
    <xf numFmtId="0" fontId="27" fillId="12" borderId="22" xfId="3" applyFont="1" applyFill="1" applyBorder="1" applyAlignment="1">
      <alignment horizontal="center" vertical="center" wrapText="1"/>
    </xf>
    <xf numFmtId="0" fontId="27" fillId="12" borderId="23" xfId="3" applyFont="1" applyFill="1" applyBorder="1" applyAlignment="1">
      <alignment horizontal="center" vertical="center" wrapText="1"/>
    </xf>
    <xf numFmtId="0" fontId="25" fillId="0" borderId="12" xfId="3" applyFont="1"/>
    <xf numFmtId="0" fontId="27" fillId="12" borderId="24" xfId="3" applyFont="1" applyFill="1" applyBorder="1" applyAlignment="1">
      <alignment horizontal="center" vertical="center" wrapText="1"/>
    </xf>
    <xf numFmtId="0" fontId="27" fillId="12" borderId="25" xfId="3" applyFont="1" applyFill="1" applyBorder="1" applyAlignment="1">
      <alignment horizontal="center" vertical="center" wrapText="1"/>
    </xf>
    <xf numFmtId="0" fontId="27" fillId="12" borderId="26" xfId="3" applyFont="1" applyFill="1" applyBorder="1" applyAlignment="1">
      <alignment horizontal="center" vertical="center" wrapText="1"/>
    </xf>
    <xf numFmtId="0" fontId="3" fillId="2" borderId="12" xfId="2" applyFont="1" applyFill="1" applyAlignment="1">
      <alignment horizontal="center" vertical="center" wrapText="1"/>
    </xf>
    <xf numFmtId="0" fontId="4" fillId="0" borderId="12" xfId="2" applyFont="1"/>
    <xf numFmtId="0" fontId="5" fillId="3" borderId="12" xfId="2" applyFont="1" applyFill="1" applyAlignment="1">
      <alignment horizontal="center" vertical="center" wrapText="1"/>
    </xf>
    <xf numFmtId="0" fontId="6" fillId="4" borderId="12" xfId="2" applyFont="1" applyFill="1" applyAlignment="1">
      <alignment horizontal="left" vertical="center" wrapText="1"/>
    </xf>
    <xf numFmtId="0" fontId="4" fillId="0" borderId="4" xfId="2" applyFont="1" applyBorder="1"/>
    <xf numFmtId="0" fontId="7" fillId="5" borderId="5" xfId="2" applyFont="1" applyFill="1" applyBorder="1" applyAlignment="1">
      <alignment horizontal="center" vertical="center" wrapText="1"/>
    </xf>
    <xf numFmtId="0" fontId="4" fillId="0" borderId="7" xfId="2" applyFont="1" applyBorder="1"/>
    <xf numFmtId="0" fontId="18" fillId="3" borderId="12" xfId="2" applyFont="1" applyFill="1" applyAlignment="1">
      <alignment horizontal="left" vertical="center" wrapText="1"/>
    </xf>
    <xf numFmtId="0" fontId="22" fillId="5" borderId="5" xfId="0" applyFont="1" applyFill="1" applyBorder="1" applyAlignment="1">
      <alignment horizontal="center" vertical="center" wrapText="1"/>
    </xf>
    <xf numFmtId="0" fontId="4" fillId="0" borderId="6" xfId="0" applyFont="1" applyBorder="1"/>
    <xf numFmtId="0" fontId="4" fillId="0" borderId="7" xfId="0" applyFont="1" applyBorder="1"/>
    <xf numFmtId="0" fontId="10" fillId="2" borderId="12" xfId="2" applyFont="1" applyFill="1" applyAlignment="1">
      <alignment horizontal="center" vertical="center" wrapText="1"/>
    </xf>
    <xf numFmtId="0" fontId="10" fillId="2" borderId="5" xfId="2" applyFont="1" applyFill="1" applyBorder="1" applyAlignment="1">
      <alignment horizontal="center" vertical="center" wrapText="1"/>
    </xf>
    <xf numFmtId="0" fontId="4" fillId="0" borderId="9" xfId="2" applyFont="1" applyBorder="1"/>
    <xf numFmtId="0" fontId="7" fillId="8" borderId="5" xfId="2" applyFont="1" applyFill="1" applyBorder="1" applyAlignment="1">
      <alignment horizontal="center" vertical="center" wrapText="1"/>
    </xf>
    <xf numFmtId="0" fontId="13" fillId="9" borderId="15" xfId="2" applyFont="1" applyFill="1" applyBorder="1" applyAlignment="1">
      <alignment horizontal="center" vertical="center" wrapText="1"/>
    </xf>
    <xf numFmtId="0" fontId="4" fillId="0" borderId="16" xfId="2" applyFont="1" applyBorder="1"/>
    <xf numFmtId="0" fontId="7" fillId="9" borderId="5" xfId="2" applyFont="1" applyFill="1" applyBorder="1" applyAlignment="1">
      <alignment horizontal="left" vertical="center" wrapText="1"/>
    </xf>
    <xf numFmtId="0" fontId="11" fillId="10" borderId="17" xfId="2" applyFont="1" applyFill="1" applyBorder="1" applyAlignment="1">
      <alignment horizontal="center" vertical="center" wrapText="1"/>
    </xf>
    <xf numFmtId="0" fontId="4" fillId="0" borderId="18" xfId="2" applyFont="1" applyBorder="1"/>
    <xf numFmtId="0" fontId="7" fillId="10" borderId="5" xfId="2" applyFont="1" applyFill="1" applyBorder="1" applyAlignment="1">
      <alignment horizontal="left" vertical="center" wrapText="1"/>
    </xf>
    <xf numFmtId="0" fontId="11" fillId="10" borderId="19" xfId="2" applyFont="1" applyFill="1" applyBorder="1" applyAlignment="1">
      <alignment horizontal="center" vertical="center" wrapText="1"/>
    </xf>
    <xf numFmtId="0" fontId="13" fillId="11" borderId="12" xfId="2" applyFont="1" applyFill="1" applyAlignment="1">
      <alignment horizontal="center" vertical="center" wrapText="1"/>
    </xf>
    <xf numFmtId="0" fontId="7" fillId="11" borderId="5" xfId="2" applyFont="1" applyFill="1" applyBorder="1" applyAlignment="1">
      <alignment horizontal="left" vertical="center" wrapText="1"/>
    </xf>
    <xf numFmtId="0" fontId="6" fillId="4" borderId="5" xfId="2" applyFont="1" applyFill="1" applyBorder="1" applyAlignment="1">
      <alignment horizontal="center" vertical="center" wrapText="1"/>
    </xf>
    <xf numFmtId="0" fontId="7" fillId="0" borderId="5" xfId="2" applyFont="1" applyBorder="1" applyAlignment="1">
      <alignment horizontal="left" vertical="center" wrapText="1"/>
    </xf>
    <xf numFmtId="0" fontId="7" fillId="5" borderId="9" xfId="2" applyFont="1" applyFill="1" applyBorder="1" applyAlignment="1">
      <alignment horizontal="center" vertical="center" wrapText="1"/>
    </xf>
    <xf numFmtId="0" fontId="19" fillId="3" borderId="12" xfId="2" applyFont="1" applyFill="1" applyAlignment="1">
      <alignment horizontal="left" vertical="center" wrapText="1"/>
    </xf>
    <xf numFmtId="2" fontId="19" fillId="3" borderId="12" xfId="2" applyNumberFormat="1" applyFont="1" applyFill="1" applyAlignment="1">
      <alignment horizontal="left" vertical="center" wrapText="1"/>
    </xf>
    <xf numFmtId="0" fontId="12" fillId="2" borderId="5" xfId="2" applyFont="1" applyFill="1" applyBorder="1" applyAlignment="1">
      <alignment horizontal="left" vertical="center" wrapText="1"/>
    </xf>
    <xf numFmtId="0" fontId="10" fillId="2" borderId="13" xfId="2" applyFont="1" applyFill="1" applyBorder="1" applyAlignment="1">
      <alignment horizontal="center" vertical="center" wrapText="1"/>
    </xf>
    <xf numFmtId="0" fontId="4" fillId="0" borderId="14" xfId="2" applyFont="1" applyBorder="1"/>
    <xf numFmtId="0" fontId="2" fillId="0" borderId="12" xfId="2" applyFont="1" applyAlignment="1">
      <alignment horizontal="center"/>
    </xf>
    <xf numFmtId="0" fontId="14" fillId="0" borderId="12" xfId="2"/>
    <xf numFmtId="0" fontId="23" fillId="0" borderId="20" xfId="0" applyFont="1" applyBorder="1" applyAlignment="1">
      <alignment horizontal="center" vertical="center"/>
    </xf>
    <xf numFmtId="0" fontId="15" fillId="0" borderId="20" xfId="0" applyFont="1" applyBorder="1" applyAlignment="1">
      <alignment horizontal="center" vertical="center" wrapText="1"/>
    </xf>
    <xf numFmtId="0" fontId="2" fillId="0" borderId="20" xfId="0" applyFont="1" applyBorder="1" applyAlignment="1">
      <alignment horizontal="center" vertical="center" wrapText="1"/>
    </xf>
    <xf numFmtId="0" fontId="7" fillId="8" borderId="5"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4" fillId="0" borderId="2" xfId="0" applyFont="1" applyBorder="1"/>
    <xf numFmtId="0" fontId="4" fillId="0" borderId="4" xfId="0" applyFont="1" applyBorder="1"/>
    <xf numFmtId="0" fontId="12" fillId="2" borderId="5" xfId="0" applyFont="1" applyFill="1" applyBorder="1" applyAlignment="1">
      <alignment horizontal="left" vertical="center" wrapText="1"/>
    </xf>
    <xf numFmtId="0" fontId="4" fillId="0" borderId="9" xfId="0" applyFont="1" applyBorder="1"/>
    <xf numFmtId="0" fontId="7" fillId="9" borderId="5" xfId="0" applyFont="1" applyFill="1" applyBorder="1" applyAlignment="1">
      <alignment horizontal="left" vertical="center" wrapText="1"/>
    </xf>
    <xf numFmtId="0" fontId="13" fillId="9" borderId="15" xfId="0" applyFont="1" applyFill="1" applyBorder="1" applyAlignment="1">
      <alignment horizontal="center" vertical="center" wrapText="1"/>
    </xf>
    <xf numFmtId="0" fontId="4" fillId="0" borderId="16" xfId="0" applyFont="1" applyBorder="1"/>
    <xf numFmtId="0" fontId="11" fillId="10" borderId="17" xfId="0" applyFont="1" applyFill="1" applyBorder="1" applyAlignment="1">
      <alignment horizontal="center" vertical="center" wrapText="1"/>
    </xf>
    <xf numFmtId="0" fontId="4" fillId="0" borderId="18" xfId="0" applyFont="1" applyBorder="1"/>
    <xf numFmtId="0" fontId="7" fillId="10" borderId="5" xfId="0" applyFont="1" applyFill="1" applyBorder="1" applyAlignment="1">
      <alignment horizontal="left" vertical="center" wrapText="1"/>
    </xf>
    <xf numFmtId="0" fontId="11" fillId="10" borderId="19" xfId="0" applyFont="1" applyFill="1" applyBorder="1" applyAlignment="1">
      <alignment horizontal="center" vertical="center" wrapText="1"/>
    </xf>
    <xf numFmtId="0" fontId="7" fillId="11" borderId="5" xfId="0" applyFont="1" applyFill="1" applyBorder="1" applyAlignment="1">
      <alignment horizontal="left" vertical="center" wrapText="1"/>
    </xf>
    <xf numFmtId="0" fontId="2" fillId="0" borderId="0" xfId="0" applyFont="1" applyAlignment="1">
      <alignment horizontal="center"/>
    </xf>
    <xf numFmtId="0" fontId="0" fillId="0" borderId="0" xfId="0"/>
    <xf numFmtId="0" fontId="10" fillId="2" borderId="5"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3" xfId="0" applyFont="1" applyBorder="1"/>
    <xf numFmtId="0" fontId="5" fillId="3" borderId="1" xfId="0" applyFont="1" applyFill="1" applyBorder="1" applyAlignment="1">
      <alignment horizontal="center" vertical="center" wrapText="1"/>
    </xf>
    <xf numFmtId="0" fontId="13" fillId="11" borderId="1"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7" fillId="0" borderId="5" xfId="0" applyFont="1" applyBorder="1" applyAlignment="1">
      <alignment horizontal="left" vertical="center" wrapText="1"/>
    </xf>
    <xf numFmtId="0" fontId="29" fillId="4" borderId="12" xfId="2" applyFont="1" applyFill="1" applyAlignment="1">
      <alignment horizontal="left" vertical="center" wrapText="1"/>
    </xf>
    <xf numFmtId="0" fontId="30" fillId="0" borderId="4" xfId="2" applyFont="1" applyBorder="1"/>
    <xf numFmtId="0" fontId="31" fillId="5" borderId="5" xfId="2" applyFont="1" applyFill="1" applyBorder="1" applyAlignment="1">
      <alignment horizontal="center" vertical="center" wrapText="1"/>
    </xf>
    <xf numFmtId="0" fontId="30" fillId="0" borderId="7" xfId="2" applyFont="1" applyBorder="1"/>
    <xf numFmtId="0" fontId="31" fillId="5" borderId="5" xfId="0" applyFont="1" applyFill="1" applyBorder="1" applyAlignment="1">
      <alignment horizontal="center" vertical="center" wrapText="1"/>
    </xf>
    <xf numFmtId="0" fontId="30" fillId="0" borderId="6" xfId="0" applyFont="1" applyBorder="1"/>
    <xf numFmtId="0" fontId="30" fillId="0" borderId="7" xfId="0" applyFont="1" applyBorder="1"/>
    <xf numFmtId="0" fontId="32" fillId="0" borderId="12" xfId="2" applyFont="1" applyAlignment="1">
      <alignment horizontal="center"/>
    </xf>
    <xf numFmtId="0" fontId="1" fillId="0" borderId="12" xfId="2" applyFont="1"/>
    <xf numFmtId="0" fontId="29" fillId="4" borderId="1" xfId="0" applyFont="1" applyFill="1" applyBorder="1" applyAlignment="1">
      <alignment horizontal="left" vertical="center" wrapText="1"/>
    </xf>
    <xf numFmtId="0" fontId="30" fillId="0" borderId="4" xfId="0" applyFont="1" applyBorder="1"/>
  </cellXfs>
  <cellStyles count="6">
    <cellStyle name="Normal" xfId="0" builtinId="0"/>
    <cellStyle name="Normal 2" xfId="2" xr:uid="{8E4D7A2B-BBE7-4134-9302-C55A1C07D350}"/>
    <cellStyle name="Normal 2 2" xfId="4" xr:uid="{967CB48C-78B2-4FE6-98E3-6E4A8FE433FB}"/>
    <cellStyle name="Normal 3" xfId="3" xr:uid="{F8D8BCB2-E561-4AD1-AED2-391E0DDCD9EC}"/>
    <cellStyle name="Percent" xfId="1" builtinId="5"/>
    <cellStyle name="Percent 2" xfId="5" xr:uid="{7A8C6D0C-B7AD-4AD7-8E5F-D5139408FD4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oneCellAnchor>
    <xdr:from>
      <xdr:col>0</xdr:col>
      <xdr:colOff>38100</xdr:colOff>
      <xdr:row>0</xdr:row>
      <xdr:rowOff>133350</xdr:rowOff>
    </xdr:from>
    <xdr:ext cx="1819275" cy="676275"/>
    <xdr:pic>
      <xdr:nvPicPr>
        <xdr:cNvPr id="2" name="image1.png">
          <a:extLst>
            <a:ext uri="{FF2B5EF4-FFF2-40B4-BE49-F238E27FC236}">
              <a16:creationId xmlns:a16="http://schemas.microsoft.com/office/drawing/2014/main" id="{2B594169-13F4-4162-A7F2-8225086DC6A2}"/>
            </a:ext>
          </a:extLst>
        </xdr:cNvPr>
        <xdr:cNvPicPr preferRelativeResize="0"/>
      </xdr:nvPicPr>
      <xdr:blipFill>
        <a:blip xmlns:r="http://schemas.openxmlformats.org/officeDocument/2006/relationships" r:embed="rId1" cstate="print"/>
        <a:stretch>
          <a:fillRect/>
        </a:stretch>
      </xdr:blipFill>
      <xdr:spPr>
        <a:xfrm>
          <a:off x="38100" y="133350"/>
          <a:ext cx="1819275" cy="6762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457200</xdr:colOff>
      <xdr:row>0</xdr:row>
      <xdr:rowOff>95250</xdr:rowOff>
    </xdr:from>
    <xdr:ext cx="8143875" cy="6753225"/>
    <xdr:pic>
      <xdr:nvPicPr>
        <xdr:cNvPr id="2" name="image2.png" title="Image">
          <a:extLst>
            <a:ext uri="{FF2B5EF4-FFF2-40B4-BE49-F238E27FC236}">
              <a16:creationId xmlns:a16="http://schemas.microsoft.com/office/drawing/2014/main" id="{0215AACF-6B3B-4ADE-BEC0-B3C5B4ECAF0B}"/>
            </a:ext>
          </a:extLst>
        </xdr:cNvPr>
        <xdr:cNvPicPr preferRelativeResize="0"/>
      </xdr:nvPicPr>
      <xdr:blipFill>
        <a:blip xmlns:r="http://schemas.openxmlformats.org/officeDocument/2006/relationships" r:embed="rId1" cstate="print"/>
        <a:stretch>
          <a:fillRect/>
        </a:stretch>
      </xdr:blipFill>
      <xdr:spPr>
        <a:xfrm>
          <a:off x="457200" y="95250"/>
          <a:ext cx="8143875" cy="675322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114300</xdr:colOff>
      <xdr:row>0</xdr:row>
      <xdr:rowOff>133350</xdr:rowOff>
    </xdr:from>
    <xdr:ext cx="1819275" cy="666750"/>
    <xdr:pic>
      <xdr:nvPicPr>
        <xdr:cNvPr id="2" name="image1.png">
          <a:extLst>
            <a:ext uri="{FF2B5EF4-FFF2-40B4-BE49-F238E27FC236}">
              <a16:creationId xmlns:a16="http://schemas.microsoft.com/office/drawing/2014/main" id="{B4B72F63-C07A-4E62-B333-39EC67F3BE90}"/>
            </a:ext>
          </a:extLst>
        </xdr:cNvPr>
        <xdr:cNvPicPr preferRelativeResize="0"/>
      </xdr:nvPicPr>
      <xdr:blipFill>
        <a:blip xmlns:r="http://schemas.openxmlformats.org/officeDocument/2006/relationships" r:embed="rId1" cstate="print"/>
        <a:stretch>
          <a:fillRect/>
        </a:stretch>
      </xdr:blipFill>
      <xdr:spPr>
        <a:xfrm>
          <a:off x="114300" y="133350"/>
          <a:ext cx="1819275" cy="66675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63499</xdr:colOff>
      <xdr:row>1</xdr:row>
      <xdr:rowOff>158750</xdr:rowOff>
    </xdr:from>
    <xdr:ext cx="7889875" cy="7270750"/>
    <xdr:pic>
      <xdr:nvPicPr>
        <xdr:cNvPr id="2" name="image2.png" title="Image">
          <a:extLst>
            <a:ext uri="{FF2B5EF4-FFF2-40B4-BE49-F238E27FC236}">
              <a16:creationId xmlns:a16="http://schemas.microsoft.com/office/drawing/2014/main" id="{67C62E0B-EE5A-41E7-A35F-808EE051D0E7}"/>
            </a:ext>
          </a:extLst>
        </xdr:cNvPr>
        <xdr:cNvPicPr preferRelativeResize="0"/>
      </xdr:nvPicPr>
      <xdr:blipFill>
        <a:blip xmlns:r="http://schemas.openxmlformats.org/officeDocument/2006/relationships" r:embed="rId1" cstate="print"/>
        <a:stretch>
          <a:fillRect/>
        </a:stretch>
      </xdr:blipFill>
      <xdr:spPr>
        <a:xfrm>
          <a:off x="63499" y="349250"/>
          <a:ext cx="7889875" cy="727075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38100</xdr:colOff>
      <xdr:row>0</xdr:row>
      <xdr:rowOff>95250</xdr:rowOff>
    </xdr:from>
    <xdr:ext cx="1819275" cy="6667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263525</xdr:colOff>
      <xdr:row>4</xdr:row>
      <xdr:rowOff>6350</xdr:rowOff>
    </xdr:from>
    <xdr:ext cx="7077075" cy="6391275"/>
    <xdr:pic>
      <xdr:nvPicPr>
        <xdr:cNvPr id="2" name="image2.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263525" y="768350"/>
          <a:ext cx="7077075" cy="6391275"/>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ummer\Downloads\20260828_Phase1_Evaluation_Interns_with_Summary.xlsx" TargetMode="External"/><Relationship Id="rId1" Type="http://schemas.openxmlformats.org/officeDocument/2006/relationships/externalLinkPath" Target="file:///C:\Users\Summer\Downloads\20260828_Phase1_Evaluation_Interns_with_Summa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Duong-MTK"/>
      <sheetName val="Duong_Task Report"/>
      <sheetName val="Minh-Business"/>
      <sheetName val="Minh_Task Report"/>
      <sheetName val="Lam-MKT"/>
      <sheetName val="Lam_Task Report"/>
    </sheetNames>
    <sheetDataSet>
      <sheetData sheetId="0" refreshError="1"/>
      <sheetData sheetId="1" refreshError="1"/>
      <sheetData sheetId="2" refreshError="1"/>
      <sheetData sheetId="3"/>
      <sheetData sheetId="4" refreshError="1"/>
      <sheetData sheetId="5">
        <row r="7">
          <cell r="C7" t="str">
            <v>Nguyen Phuong Lam</v>
          </cell>
        </row>
      </sheetData>
      <sheetData sheetId="6"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702B0-48AB-40B1-8B45-0E33F3787282}">
  <sheetPr>
    <pageSetUpPr fitToPage="1"/>
  </sheetPr>
  <dimension ref="A1:G8"/>
  <sheetViews>
    <sheetView zoomScaleNormal="100" workbookViewId="0">
      <selection activeCell="G4" sqref="G4:G5"/>
    </sheetView>
  </sheetViews>
  <sheetFormatPr defaultColWidth="8.5703125" defaultRowHeight="15" x14ac:dyDescent="0.25"/>
  <cols>
    <col min="1" max="1" width="26" style="58" customWidth="1"/>
    <col min="2" max="2" width="29.5703125" style="58" customWidth="1"/>
    <col min="3" max="6" width="15.5703125" style="58" customWidth="1"/>
    <col min="7" max="7" width="17.28515625" style="58" customWidth="1"/>
    <col min="8" max="16384" width="8.5703125" style="58"/>
  </cols>
  <sheetData>
    <row r="1" spans="1:7" ht="18" x14ac:dyDescent="0.25">
      <c r="A1" s="66" t="s">
        <v>206</v>
      </c>
      <c r="B1" s="66"/>
      <c r="C1" s="66"/>
    </row>
    <row r="2" spans="1:7" x14ac:dyDescent="0.25">
      <c r="A2" s="63" t="s">
        <v>6</v>
      </c>
      <c r="B2" s="63" t="s">
        <v>145</v>
      </c>
      <c r="C2" s="63"/>
    </row>
    <row r="4" spans="1:7" x14ac:dyDescent="0.25">
      <c r="A4" s="64" t="s">
        <v>209</v>
      </c>
      <c r="B4" s="64" t="s">
        <v>208</v>
      </c>
      <c r="C4" s="67" t="s">
        <v>214</v>
      </c>
      <c r="D4" s="68"/>
      <c r="E4" s="69"/>
      <c r="F4" s="64" t="s">
        <v>215</v>
      </c>
      <c r="G4" s="64" t="s">
        <v>210</v>
      </c>
    </row>
    <row r="5" spans="1:7" ht="30" x14ac:dyDescent="0.25">
      <c r="A5" s="65"/>
      <c r="B5" s="65"/>
      <c r="C5" s="59" t="s">
        <v>212</v>
      </c>
      <c r="D5" s="59" t="s">
        <v>213</v>
      </c>
      <c r="E5" s="59" t="s">
        <v>207</v>
      </c>
      <c r="F5" s="65"/>
      <c r="G5" s="65"/>
    </row>
    <row r="6" spans="1:7" x14ac:dyDescent="0.25">
      <c r="A6" s="60" t="str">
        <f>'Duong-MTK'!$C$7</f>
        <v>Pham Thuy Duong</v>
      </c>
      <c r="B6" s="60" t="str">
        <f>'Duong-MTK'!$C$10</f>
        <v>Growth Marketing Intern</v>
      </c>
      <c r="C6" s="61">
        <f>'Duong-MTK'!J20</f>
        <v>4.1749999999999998</v>
      </c>
      <c r="D6" s="62">
        <f>'Duong-MTK'!E29</f>
        <v>4.1500000000000004</v>
      </c>
      <c r="E6" s="61">
        <f>'Duong-MTK'!$G$31</f>
        <v>4.1575000000000006</v>
      </c>
      <c r="F6" s="61" t="s">
        <v>216</v>
      </c>
      <c r="G6" s="61" t="s">
        <v>211</v>
      </c>
    </row>
    <row r="7" spans="1:7" x14ac:dyDescent="0.25">
      <c r="A7" s="60" t="str">
        <f>'Minh-Business'!$C$7</f>
        <v>Hoang Gia Minh</v>
      </c>
      <c r="B7" s="60" t="str">
        <f>'Minh-Business'!$C$10</f>
        <v>Business Development Intern</v>
      </c>
      <c r="C7" s="61">
        <f>'Minh-Business'!J20</f>
        <v>4.0750000000000002</v>
      </c>
      <c r="D7" s="62">
        <f>'Minh-Business'!E29</f>
        <v>4</v>
      </c>
      <c r="E7" s="61">
        <f>'Minh-Business'!$G$31</f>
        <v>4.0225</v>
      </c>
      <c r="F7" s="61" t="s">
        <v>216</v>
      </c>
      <c r="G7" s="61" t="s">
        <v>211</v>
      </c>
    </row>
    <row r="8" spans="1:7" x14ac:dyDescent="0.25">
      <c r="A8" s="60" t="str">
        <f>'[1]Lam-MKT'!$C$7</f>
        <v>Nguyen Phuong Lam</v>
      </c>
      <c r="B8" s="60" t="str">
        <f>'Lam-MKT'!$C$10</f>
        <v>Growth Marketing Intern</v>
      </c>
      <c r="C8" s="62">
        <f>'Lam-MKT'!J20</f>
        <v>4.25</v>
      </c>
      <c r="D8" s="62">
        <f>'Lam-MKT'!E29</f>
        <v>4.1500000000000004</v>
      </c>
      <c r="E8" s="61">
        <f>'Lam-MKT'!$G$31</f>
        <v>4.18</v>
      </c>
      <c r="F8" s="61" t="s">
        <v>216</v>
      </c>
      <c r="G8" s="61" t="s">
        <v>211</v>
      </c>
    </row>
  </sheetData>
  <mergeCells count="6">
    <mergeCell ref="G4:G5"/>
    <mergeCell ref="A1:C1"/>
    <mergeCell ref="A4:A5"/>
    <mergeCell ref="B4:B5"/>
    <mergeCell ref="C4:E4"/>
    <mergeCell ref="F4:F5"/>
  </mergeCells>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B926E-3945-4C89-9153-B2331905C4A4}">
  <sheetPr>
    <pageSetUpPr fitToPage="1"/>
  </sheetPr>
  <dimension ref="A1:Z1001"/>
  <sheetViews>
    <sheetView showGridLines="0" view="pageBreakPreview" zoomScale="60" zoomScaleNormal="70" workbookViewId="0">
      <pane ySplit="6" topLeftCell="A18" activePane="bottomLeft" state="frozen"/>
      <selection activeCell="A8" sqref="A8:B8"/>
      <selection pane="bottomLeft" activeCell="U11" sqref="U11"/>
    </sheetView>
  </sheetViews>
  <sheetFormatPr defaultColWidth="14.42578125" defaultRowHeight="15" customHeight="1" x14ac:dyDescent="0.25"/>
  <cols>
    <col min="1" max="1" width="9.140625" style="27" customWidth="1"/>
    <col min="2" max="2" width="44.28515625" style="27" customWidth="1"/>
    <col min="3" max="3" width="9" style="27" customWidth="1"/>
    <col min="4" max="4" width="31" style="27" customWidth="1"/>
    <col min="5" max="8" width="15.85546875" style="27" customWidth="1"/>
    <col min="9" max="9" width="15" style="27" customWidth="1"/>
    <col min="10" max="10" width="12" style="27" customWidth="1"/>
    <col min="11" max="11" width="25" style="27" customWidth="1"/>
    <col min="12" max="12" width="4.28515625" style="27" customWidth="1"/>
    <col min="13" max="14" width="21.85546875" style="27" customWidth="1"/>
    <col min="15" max="15" width="20.5703125" style="27" customWidth="1"/>
    <col min="16" max="26" width="8.7109375" style="27" customWidth="1"/>
    <col min="27" max="16384" width="14.42578125" style="27"/>
  </cols>
  <sheetData>
    <row r="1" spans="1:26" ht="44.25" customHeight="1" x14ac:dyDescent="0.25">
      <c r="A1" s="26"/>
      <c r="B1" s="26"/>
      <c r="C1" s="26"/>
      <c r="D1" s="26"/>
      <c r="E1" s="26"/>
      <c r="F1" s="26"/>
      <c r="G1" s="26"/>
      <c r="H1" s="26"/>
      <c r="I1" s="26"/>
      <c r="J1" s="26"/>
      <c r="K1" s="26"/>
      <c r="L1" s="26"/>
      <c r="M1" s="26"/>
      <c r="N1" s="26"/>
      <c r="O1" s="26"/>
      <c r="P1" s="26"/>
      <c r="Q1" s="26"/>
      <c r="R1" s="26"/>
      <c r="S1" s="26"/>
      <c r="T1" s="26"/>
      <c r="U1" s="26"/>
      <c r="V1" s="26"/>
      <c r="W1" s="26"/>
      <c r="X1" s="26"/>
      <c r="Y1" s="26"/>
      <c r="Z1" s="26"/>
    </row>
    <row r="2" spans="1:26" ht="14.25" customHeight="1" x14ac:dyDescent="0.25">
      <c r="A2" s="26"/>
      <c r="B2" s="26"/>
      <c r="C2" s="26"/>
      <c r="D2" s="26"/>
      <c r="E2" s="26"/>
      <c r="F2" s="26"/>
      <c r="G2" s="26"/>
      <c r="H2" s="26"/>
      <c r="I2" s="26"/>
      <c r="J2" s="26"/>
      <c r="K2" s="26"/>
      <c r="L2" s="26"/>
      <c r="M2" s="26"/>
      <c r="N2" s="26"/>
      <c r="O2" s="26"/>
      <c r="P2" s="26"/>
      <c r="Q2" s="26"/>
      <c r="R2" s="26"/>
      <c r="S2" s="26"/>
      <c r="T2" s="26"/>
      <c r="U2" s="26"/>
      <c r="V2" s="26"/>
      <c r="W2" s="26"/>
      <c r="X2" s="26"/>
      <c r="Y2" s="26"/>
      <c r="Z2" s="26"/>
    </row>
    <row r="3" spans="1:26" ht="14.25" customHeight="1" x14ac:dyDescent="0.25">
      <c r="A3" s="26"/>
      <c r="B3" s="26"/>
      <c r="C3" s="26"/>
      <c r="D3" s="26"/>
      <c r="E3" s="26"/>
      <c r="F3" s="26"/>
      <c r="G3" s="26"/>
      <c r="H3" s="26"/>
      <c r="I3" s="26"/>
      <c r="J3" s="26"/>
      <c r="K3" s="26"/>
      <c r="L3" s="26"/>
      <c r="M3" s="26"/>
      <c r="N3" s="26"/>
      <c r="O3" s="26"/>
      <c r="P3" s="26"/>
      <c r="Q3" s="26"/>
      <c r="R3" s="26"/>
      <c r="S3" s="26"/>
      <c r="T3" s="26"/>
      <c r="U3" s="26"/>
      <c r="V3" s="26"/>
      <c r="W3" s="26"/>
      <c r="X3" s="26"/>
      <c r="Y3" s="26"/>
      <c r="Z3" s="26"/>
    </row>
    <row r="4" spans="1:26" ht="39.75" customHeight="1" x14ac:dyDescent="0.25">
      <c r="A4" s="70" t="s">
        <v>0</v>
      </c>
      <c r="B4" s="71"/>
      <c r="C4" s="71"/>
      <c r="D4" s="71"/>
      <c r="E4" s="71"/>
      <c r="F4" s="71"/>
      <c r="G4" s="71"/>
      <c r="H4" s="71"/>
      <c r="I4" s="71"/>
      <c r="J4" s="71"/>
      <c r="K4" s="71"/>
      <c r="L4" s="26"/>
      <c r="M4" s="26"/>
      <c r="N4" s="26"/>
      <c r="O4" s="26"/>
      <c r="P4" s="26"/>
      <c r="Q4" s="26"/>
      <c r="R4" s="26"/>
      <c r="S4" s="26"/>
      <c r="T4" s="26"/>
      <c r="U4" s="26"/>
      <c r="V4" s="26"/>
      <c r="W4" s="26"/>
      <c r="X4" s="26"/>
      <c r="Y4" s="26"/>
      <c r="Z4" s="26"/>
    </row>
    <row r="5" spans="1:26" ht="19.5" customHeight="1" x14ac:dyDescent="0.25">
      <c r="A5" s="72" t="s">
        <v>1</v>
      </c>
      <c r="B5" s="71"/>
      <c r="C5" s="71"/>
      <c r="D5" s="71"/>
      <c r="E5" s="71"/>
      <c r="F5" s="71"/>
      <c r="G5" s="71"/>
      <c r="H5" s="71"/>
      <c r="I5" s="71"/>
      <c r="J5" s="71"/>
      <c r="K5" s="71"/>
      <c r="L5" s="26"/>
      <c r="M5" s="26"/>
      <c r="N5" s="26"/>
      <c r="O5" s="26"/>
      <c r="P5" s="26"/>
      <c r="Q5" s="26"/>
      <c r="R5" s="26"/>
      <c r="S5" s="26"/>
      <c r="T5" s="26"/>
      <c r="U5" s="26"/>
      <c r="V5" s="26"/>
      <c r="W5" s="26"/>
      <c r="X5" s="26"/>
      <c r="Y5" s="26"/>
      <c r="Z5" s="26"/>
    </row>
    <row r="6" spans="1:26" ht="19.5" customHeight="1" x14ac:dyDescent="0.25">
      <c r="A6" s="26"/>
      <c r="B6" s="26"/>
      <c r="C6" s="26"/>
      <c r="D6" s="26"/>
      <c r="E6" s="26"/>
      <c r="F6" s="26"/>
      <c r="G6" s="26"/>
      <c r="H6" s="26"/>
      <c r="I6" s="26"/>
      <c r="J6" s="26"/>
      <c r="K6" s="26"/>
      <c r="L6" s="26"/>
      <c r="M6" s="26"/>
      <c r="N6" s="26"/>
      <c r="O6" s="26"/>
      <c r="P6" s="26"/>
      <c r="Q6" s="26"/>
      <c r="R6" s="26"/>
      <c r="S6" s="26"/>
      <c r="T6" s="26"/>
      <c r="U6" s="26"/>
      <c r="V6" s="26"/>
      <c r="W6" s="26"/>
      <c r="X6" s="26"/>
      <c r="Y6" s="26"/>
      <c r="Z6" s="26"/>
    </row>
    <row r="7" spans="1:26" ht="19.5" customHeight="1" x14ac:dyDescent="0.25">
      <c r="A7" s="73" t="s">
        <v>2</v>
      </c>
      <c r="B7" s="74"/>
      <c r="C7" s="75" t="s">
        <v>115</v>
      </c>
      <c r="D7" s="76"/>
      <c r="E7" s="76"/>
      <c r="F7" s="76"/>
      <c r="G7" s="76"/>
      <c r="H7" s="76"/>
      <c r="I7" s="76"/>
      <c r="J7" s="76"/>
      <c r="K7" s="76"/>
      <c r="L7" s="28"/>
      <c r="M7" s="28"/>
      <c r="N7" s="28"/>
      <c r="O7" s="28"/>
      <c r="P7" s="28"/>
      <c r="Q7" s="28"/>
      <c r="R7" s="28"/>
      <c r="S7" s="28"/>
      <c r="T7" s="28"/>
      <c r="U7" s="28"/>
      <c r="V7" s="28"/>
      <c r="W7" s="28"/>
      <c r="X7" s="28"/>
      <c r="Y7" s="28"/>
      <c r="Z7" s="28"/>
    </row>
    <row r="8" spans="1:26" ht="19.5" customHeight="1" x14ac:dyDescent="0.25">
      <c r="A8" s="73" t="s">
        <v>4</v>
      </c>
      <c r="B8" s="74"/>
      <c r="C8" s="75" t="s">
        <v>5</v>
      </c>
      <c r="D8" s="76"/>
      <c r="E8" s="76"/>
      <c r="F8" s="76"/>
      <c r="G8" s="76"/>
      <c r="H8" s="76"/>
      <c r="I8" s="76"/>
      <c r="J8" s="76"/>
      <c r="K8" s="76"/>
      <c r="L8" s="28"/>
      <c r="M8" s="28"/>
      <c r="N8" s="28"/>
      <c r="O8" s="28"/>
      <c r="P8" s="28"/>
      <c r="Q8" s="28"/>
      <c r="R8" s="28"/>
      <c r="S8" s="28"/>
      <c r="T8" s="28"/>
      <c r="U8" s="28"/>
      <c r="V8" s="28"/>
      <c r="W8" s="28"/>
      <c r="X8" s="28"/>
      <c r="Y8" s="28"/>
      <c r="Z8" s="28"/>
    </row>
    <row r="9" spans="1:26" ht="19.5" customHeight="1" x14ac:dyDescent="0.25">
      <c r="A9" s="73" t="s">
        <v>6</v>
      </c>
      <c r="B9" s="74"/>
      <c r="C9" s="78" t="s">
        <v>145</v>
      </c>
      <c r="D9" s="79"/>
      <c r="E9" s="79"/>
      <c r="F9" s="79"/>
      <c r="G9" s="79"/>
      <c r="H9" s="79"/>
      <c r="I9" s="79"/>
      <c r="J9" s="79"/>
      <c r="K9" s="80"/>
      <c r="L9" s="28"/>
      <c r="M9" s="28"/>
      <c r="N9" s="28"/>
      <c r="O9" s="28"/>
      <c r="P9" s="28"/>
      <c r="Q9" s="28"/>
      <c r="R9" s="28"/>
      <c r="S9" s="28"/>
      <c r="T9" s="28"/>
      <c r="U9" s="28"/>
      <c r="V9" s="28"/>
      <c r="W9" s="28"/>
      <c r="X9" s="28"/>
      <c r="Y9" s="28"/>
      <c r="Z9" s="28"/>
    </row>
    <row r="10" spans="1:26" ht="19.5" customHeight="1" x14ac:dyDescent="0.25">
      <c r="A10" s="73" t="s">
        <v>7</v>
      </c>
      <c r="B10" s="74"/>
      <c r="C10" s="75" t="s">
        <v>8</v>
      </c>
      <c r="D10" s="76"/>
      <c r="E10" s="76"/>
      <c r="F10" s="76"/>
      <c r="G10" s="76"/>
      <c r="H10" s="76"/>
      <c r="I10" s="76"/>
      <c r="J10" s="76"/>
      <c r="K10" s="76"/>
      <c r="L10" s="28"/>
      <c r="M10" s="28"/>
      <c r="N10" s="28"/>
      <c r="O10" s="28"/>
      <c r="P10" s="28"/>
      <c r="Q10" s="28"/>
      <c r="R10" s="28"/>
      <c r="S10" s="28"/>
      <c r="T10" s="28"/>
      <c r="U10" s="28"/>
      <c r="V10" s="28"/>
      <c r="W10" s="28"/>
      <c r="X10" s="28"/>
      <c r="Y10" s="28"/>
      <c r="Z10" s="28"/>
    </row>
    <row r="11" spans="1:26" ht="19.5" customHeight="1" x14ac:dyDescent="0.25">
      <c r="A11" s="73" t="s">
        <v>9</v>
      </c>
      <c r="B11" s="74"/>
      <c r="C11" s="75" t="s">
        <v>10</v>
      </c>
      <c r="D11" s="76"/>
      <c r="E11" s="76"/>
      <c r="F11" s="76"/>
      <c r="G11" s="76"/>
      <c r="H11" s="76"/>
      <c r="I11" s="76"/>
      <c r="J11" s="76"/>
      <c r="K11" s="76"/>
      <c r="L11" s="28"/>
      <c r="M11" s="28"/>
      <c r="N11" s="28"/>
      <c r="O11" s="28"/>
      <c r="P11" s="28"/>
      <c r="Q11" s="28"/>
      <c r="R11" s="28"/>
      <c r="S11" s="28"/>
      <c r="T11" s="28"/>
      <c r="U11" s="28"/>
      <c r="V11" s="28"/>
      <c r="W11" s="28"/>
      <c r="X11" s="28"/>
      <c r="Y11" s="28"/>
      <c r="Z11" s="28"/>
    </row>
    <row r="12" spans="1:26" ht="19.5" customHeight="1" x14ac:dyDescent="0.25">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spans="1:26" ht="21.75" customHeight="1" x14ac:dyDescent="0.25">
      <c r="A13" s="77" t="s">
        <v>200</v>
      </c>
      <c r="B13" s="77"/>
      <c r="C13" s="77"/>
      <c r="D13" s="77"/>
      <c r="E13" s="77"/>
      <c r="F13" s="77"/>
      <c r="G13" s="77"/>
      <c r="H13" s="77"/>
      <c r="I13" s="77"/>
      <c r="J13" s="53" t="s">
        <v>12</v>
      </c>
      <c r="K13" s="54">
        <v>0.7</v>
      </c>
      <c r="L13" s="26"/>
    </row>
    <row r="14" spans="1:26" ht="27" customHeight="1" x14ac:dyDescent="0.25">
      <c r="A14" s="81" t="s">
        <v>11</v>
      </c>
      <c r="B14" s="74"/>
      <c r="C14" s="29" t="s">
        <v>12</v>
      </c>
      <c r="D14" s="29" t="s">
        <v>13</v>
      </c>
      <c r="E14" s="82" t="s">
        <v>14</v>
      </c>
      <c r="F14" s="83"/>
      <c r="G14" s="82" t="s">
        <v>15</v>
      </c>
      <c r="H14" s="83"/>
      <c r="I14" s="29" t="s">
        <v>16</v>
      </c>
      <c r="J14" s="29" t="s">
        <v>17</v>
      </c>
      <c r="K14" s="29" t="s">
        <v>18</v>
      </c>
      <c r="L14" s="26"/>
      <c r="M14" s="30" t="s">
        <v>19</v>
      </c>
      <c r="N14" s="30" t="s">
        <v>20</v>
      </c>
      <c r="O14" s="30" t="s">
        <v>21</v>
      </c>
      <c r="P14" s="26"/>
      <c r="Q14" s="26"/>
      <c r="R14" s="26"/>
      <c r="S14" s="26"/>
      <c r="T14" s="26"/>
      <c r="U14" s="26"/>
      <c r="V14" s="26"/>
      <c r="W14" s="26"/>
      <c r="X14" s="26"/>
      <c r="Y14" s="26"/>
      <c r="Z14" s="26"/>
    </row>
    <row r="15" spans="1:26" ht="55.5" customHeight="1" x14ac:dyDescent="0.25">
      <c r="A15" s="31">
        <v>1</v>
      </c>
      <c r="B15" s="32" t="s">
        <v>22</v>
      </c>
      <c r="C15" s="33">
        <v>0.25</v>
      </c>
      <c r="D15" s="34">
        <v>100</v>
      </c>
      <c r="E15" s="75">
        <v>100</v>
      </c>
      <c r="F15" s="96"/>
      <c r="G15" s="75">
        <v>100</v>
      </c>
      <c r="H15" s="96"/>
      <c r="I15" s="35">
        <v>100</v>
      </c>
      <c r="J15" s="35">
        <v>5</v>
      </c>
      <c r="K15" s="35" t="s">
        <v>23</v>
      </c>
      <c r="L15" s="26"/>
      <c r="M15" s="36" t="s">
        <v>24</v>
      </c>
      <c r="N15" s="36" t="s">
        <v>25</v>
      </c>
      <c r="O15" s="36" t="s">
        <v>26</v>
      </c>
      <c r="P15" s="26"/>
      <c r="Q15" s="26"/>
      <c r="R15" s="26"/>
      <c r="S15" s="26"/>
      <c r="T15" s="26"/>
      <c r="U15" s="26"/>
      <c r="V15" s="26"/>
      <c r="W15" s="26"/>
      <c r="X15" s="26"/>
      <c r="Y15" s="26"/>
      <c r="Z15" s="26"/>
    </row>
    <row r="16" spans="1:26" ht="38.25" customHeight="1" x14ac:dyDescent="0.25">
      <c r="A16" s="37">
        <v>2</v>
      </c>
      <c r="B16" s="38" t="s">
        <v>116</v>
      </c>
      <c r="C16" s="39">
        <v>0.25</v>
      </c>
      <c r="D16" s="34" t="s">
        <v>117</v>
      </c>
      <c r="E16" s="84" t="s">
        <v>118</v>
      </c>
      <c r="F16" s="83"/>
      <c r="G16" s="84" t="s">
        <v>119</v>
      </c>
      <c r="H16" s="83"/>
      <c r="I16" s="40" t="s">
        <v>31</v>
      </c>
      <c r="J16" s="40">
        <v>4</v>
      </c>
      <c r="K16" s="40" t="s">
        <v>120</v>
      </c>
      <c r="L16" s="26"/>
      <c r="M16" s="41" t="s">
        <v>33</v>
      </c>
      <c r="N16" s="41" t="s">
        <v>34</v>
      </c>
      <c r="O16" s="41" t="s">
        <v>35</v>
      </c>
      <c r="P16" s="26"/>
      <c r="Q16" s="26"/>
      <c r="R16" s="26"/>
      <c r="S16" s="26"/>
      <c r="T16" s="26"/>
      <c r="U16" s="26"/>
      <c r="V16" s="26"/>
      <c r="W16" s="26"/>
      <c r="X16" s="26"/>
      <c r="Y16" s="26"/>
      <c r="Z16" s="26"/>
    </row>
    <row r="17" spans="1:26" ht="66" customHeight="1" x14ac:dyDescent="0.25">
      <c r="A17" s="31">
        <v>3</v>
      </c>
      <c r="B17" s="38" t="s">
        <v>121</v>
      </c>
      <c r="C17" s="39">
        <v>0.2</v>
      </c>
      <c r="D17" s="34" t="s">
        <v>122</v>
      </c>
      <c r="E17" s="75" t="s">
        <v>123</v>
      </c>
      <c r="F17" s="83"/>
      <c r="G17" s="75" t="s">
        <v>124</v>
      </c>
      <c r="H17" s="83"/>
      <c r="I17" s="35" t="s">
        <v>31</v>
      </c>
      <c r="J17" s="35">
        <v>4</v>
      </c>
      <c r="K17" s="35" t="s">
        <v>125</v>
      </c>
      <c r="L17" s="26"/>
      <c r="M17" s="36" t="s">
        <v>126</v>
      </c>
      <c r="N17" s="36" t="s">
        <v>127</v>
      </c>
      <c r="O17" s="36" t="s">
        <v>128</v>
      </c>
      <c r="P17" s="26"/>
      <c r="Q17" s="26"/>
      <c r="R17" s="26"/>
      <c r="S17" s="26"/>
      <c r="T17" s="26"/>
      <c r="U17" s="26"/>
      <c r="V17" s="26"/>
      <c r="W17" s="26"/>
      <c r="X17" s="26"/>
      <c r="Y17" s="26"/>
      <c r="Z17" s="26"/>
    </row>
    <row r="18" spans="1:26" ht="36.75" customHeight="1" x14ac:dyDescent="0.25">
      <c r="A18" s="37">
        <v>4</v>
      </c>
      <c r="B18" s="32" t="s">
        <v>129</v>
      </c>
      <c r="C18" s="33">
        <v>0.15</v>
      </c>
      <c r="D18" s="34" t="s">
        <v>130</v>
      </c>
      <c r="E18" s="84" t="s">
        <v>131</v>
      </c>
      <c r="F18" s="83"/>
      <c r="G18" s="84" t="s">
        <v>132</v>
      </c>
      <c r="H18" s="83"/>
      <c r="I18" s="40" t="s">
        <v>133</v>
      </c>
      <c r="J18" s="40">
        <v>3.5</v>
      </c>
      <c r="K18" s="40" t="s">
        <v>134</v>
      </c>
      <c r="L18" s="26"/>
      <c r="M18" s="41" t="s">
        <v>40</v>
      </c>
      <c r="N18" s="41" t="s">
        <v>41</v>
      </c>
      <c r="O18" s="41" t="s">
        <v>42</v>
      </c>
      <c r="P18" s="26"/>
      <c r="Q18" s="26"/>
      <c r="R18" s="26"/>
      <c r="S18" s="26"/>
      <c r="T18" s="26"/>
      <c r="U18" s="26"/>
      <c r="V18" s="26"/>
      <c r="W18" s="26"/>
      <c r="X18" s="26"/>
      <c r="Y18" s="26"/>
      <c r="Z18" s="26"/>
    </row>
    <row r="19" spans="1:26" ht="56.25" customHeight="1" x14ac:dyDescent="0.25">
      <c r="A19" s="31">
        <v>5</v>
      </c>
      <c r="B19" s="32" t="s">
        <v>51</v>
      </c>
      <c r="C19" s="33">
        <v>0.15</v>
      </c>
      <c r="D19" s="34" t="s">
        <v>52</v>
      </c>
      <c r="E19" s="75" t="s">
        <v>135</v>
      </c>
      <c r="F19" s="83"/>
      <c r="G19" s="75" t="s">
        <v>136</v>
      </c>
      <c r="H19" s="83"/>
      <c r="I19" s="35" t="s">
        <v>31</v>
      </c>
      <c r="J19" s="35">
        <v>4</v>
      </c>
      <c r="K19" s="35" t="s">
        <v>137</v>
      </c>
      <c r="L19" s="26"/>
      <c r="M19" s="36" t="s">
        <v>48</v>
      </c>
      <c r="N19" s="36" t="s">
        <v>49</v>
      </c>
      <c r="O19" s="36" t="s">
        <v>50</v>
      </c>
      <c r="P19" s="26"/>
      <c r="Q19" s="26"/>
      <c r="R19" s="26"/>
      <c r="S19" s="26"/>
      <c r="T19" s="26"/>
      <c r="U19" s="26"/>
      <c r="V19" s="26"/>
      <c r="W19" s="26"/>
      <c r="X19" s="26"/>
      <c r="Y19" s="26"/>
      <c r="Z19" s="26"/>
    </row>
    <row r="20" spans="1:26" ht="19.5" customHeight="1" x14ac:dyDescent="0.25">
      <c r="A20" s="100" t="s">
        <v>56</v>
      </c>
      <c r="B20" s="101"/>
      <c r="C20" s="29" t="s">
        <v>57</v>
      </c>
      <c r="D20" s="35"/>
      <c r="E20" s="35"/>
      <c r="F20" s="35"/>
      <c r="G20" s="35"/>
      <c r="H20" s="35"/>
      <c r="I20" s="35"/>
      <c r="J20" s="57">
        <f>J15*C15+J16*C16+J17*C17+J18*C18+J19*C19</f>
        <v>4.1749999999999998</v>
      </c>
      <c r="K20" s="35"/>
      <c r="L20" s="26"/>
      <c r="M20" s="26"/>
      <c r="N20" s="26"/>
      <c r="O20" s="26"/>
      <c r="P20" s="26"/>
      <c r="Q20" s="26"/>
      <c r="R20" s="26"/>
      <c r="S20" s="26"/>
      <c r="T20" s="26"/>
      <c r="U20" s="26"/>
      <c r="V20" s="26"/>
      <c r="W20" s="26"/>
      <c r="X20" s="26"/>
      <c r="Y20" s="26"/>
      <c r="Z20" s="26"/>
    </row>
    <row r="21" spans="1:26" ht="19.5" customHeight="1" x14ac:dyDescent="0.25">
      <c r="A21" s="102"/>
      <c r="B21" s="103"/>
      <c r="C21" s="26"/>
      <c r="D21" s="26"/>
      <c r="E21" s="26"/>
      <c r="F21" s="26"/>
      <c r="G21" s="26"/>
      <c r="H21" s="26"/>
      <c r="I21" s="26"/>
      <c r="J21" s="26"/>
      <c r="K21" s="26"/>
      <c r="L21" s="26"/>
      <c r="M21" s="26"/>
      <c r="N21" s="26"/>
      <c r="O21" s="26"/>
      <c r="P21" s="26"/>
      <c r="Q21" s="26"/>
      <c r="R21" s="26"/>
      <c r="S21" s="26"/>
      <c r="T21" s="26"/>
      <c r="U21" s="26"/>
      <c r="V21" s="26"/>
      <c r="W21" s="26"/>
      <c r="X21" s="26"/>
      <c r="Y21" s="26"/>
      <c r="Z21" s="26"/>
    </row>
    <row r="22" spans="1:26" ht="21.75" customHeight="1" x14ac:dyDescent="0.25">
      <c r="A22" s="77" t="s">
        <v>58</v>
      </c>
      <c r="B22" s="77"/>
      <c r="C22" s="77"/>
      <c r="D22" s="77"/>
      <c r="E22" s="77"/>
      <c r="F22" s="77"/>
      <c r="G22" s="77"/>
      <c r="H22" s="77"/>
      <c r="I22" s="77"/>
      <c r="J22" s="53" t="s">
        <v>12</v>
      </c>
      <c r="K22" s="54">
        <v>0.3</v>
      </c>
    </row>
    <row r="23" spans="1:26" ht="29.25" customHeight="1" x14ac:dyDescent="0.25">
      <c r="A23" s="81" t="s">
        <v>59</v>
      </c>
      <c r="B23" s="74"/>
      <c r="C23" s="29" t="s">
        <v>12</v>
      </c>
      <c r="D23" s="29" t="s">
        <v>60</v>
      </c>
      <c r="E23" s="29" t="s">
        <v>61</v>
      </c>
      <c r="F23" s="29" t="s">
        <v>62</v>
      </c>
      <c r="G23" s="82" t="s">
        <v>63</v>
      </c>
      <c r="H23" s="76"/>
      <c r="I23" s="76"/>
      <c r="J23" s="76"/>
      <c r="K23" s="76"/>
      <c r="L23" s="26"/>
      <c r="M23" s="30" t="s">
        <v>19</v>
      </c>
      <c r="N23" s="30" t="s">
        <v>20</v>
      </c>
      <c r="O23" s="30" t="s">
        <v>21</v>
      </c>
      <c r="P23" s="26"/>
      <c r="Q23" s="26"/>
      <c r="R23" s="26"/>
      <c r="S23" s="26"/>
      <c r="T23" s="26"/>
      <c r="U23" s="26"/>
      <c r="V23" s="26"/>
      <c r="W23" s="26"/>
      <c r="X23" s="26"/>
      <c r="Y23" s="26"/>
      <c r="Z23" s="26"/>
    </row>
    <row r="24" spans="1:26" ht="48.75" customHeight="1" x14ac:dyDescent="0.25">
      <c r="A24" s="42">
        <v>1</v>
      </c>
      <c r="B24" s="43" t="s">
        <v>64</v>
      </c>
      <c r="C24" s="44" t="s">
        <v>65</v>
      </c>
      <c r="D24" s="36" t="s">
        <v>66</v>
      </c>
      <c r="E24" s="45">
        <v>4</v>
      </c>
      <c r="F24" s="50">
        <v>1</v>
      </c>
      <c r="G24" s="75" t="s">
        <v>138</v>
      </c>
      <c r="H24" s="76"/>
      <c r="I24" s="76"/>
      <c r="J24" s="76"/>
      <c r="K24" s="76"/>
      <c r="L24" s="26"/>
      <c r="M24" s="36" t="s">
        <v>68</v>
      </c>
      <c r="N24" s="36" t="s">
        <v>69</v>
      </c>
      <c r="O24" s="36" t="s">
        <v>70</v>
      </c>
      <c r="P24" s="26"/>
      <c r="Q24" s="26"/>
      <c r="R24" s="26"/>
      <c r="S24" s="26"/>
      <c r="T24" s="26"/>
      <c r="U24" s="26"/>
      <c r="V24" s="26"/>
      <c r="W24" s="26"/>
      <c r="X24" s="26"/>
      <c r="Y24" s="26"/>
      <c r="Z24" s="26"/>
    </row>
    <row r="25" spans="1:26" ht="57" customHeight="1" x14ac:dyDescent="0.25">
      <c r="A25" s="46">
        <v>2</v>
      </c>
      <c r="B25" s="47" t="s">
        <v>71</v>
      </c>
      <c r="C25" s="48" t="s">
        <v>65</v>
      </c>
      <c r="D25" s="41" t="s">
        <v>72</v>
      </c>
      <c r="E25" s="45">
        <v>4</v>
      </c>
      <c r="F25" s="51">
        <v>1</v>
      </c>
      <c r="G25" s="84" t="s">
        <v>139</v>
      </c>
      <c r="H25" s="76"/>
      <c r="I25" s="76"/>
      <c r="J25" s="76"/>
      <c r="K25" s="76"/>
      <c r="L25" s="26"/>
      <c r="M25" s="41" t="s">
        <v>74</v>
      </c>
      <c r="N25" s="41" t="s">
        <v>75</v>
      </c>
      <c r="O25" s="41" t="s">
        <v>76</v>
      </c>
      <c r="P25" s="26"/>
      <c r="Q25" s="26"/>
      <c r="R25" s="26"/>
      <c r="S25" s="26"/>
      <c r="T25" s="26"/>
      <c r="U25" s="26"/>
      <c r="V25" s="26"/>
      <c r="W25" s="26"/>
      <c r="X25" s="26"/>
      <c r="Y25" s="26"/>
      <c r="Z25" s="26"/>
    </row>
    <row r="26" spans="1:26" ht="46.5" customHeight="1" x14ac:dyDescent="0.25">
      <c r="A26" s="42">
        <v>3</v>
      </c>
      <c r="B26" s="43" t="s">
        <v>77</v>
      </c>
      <c r="C26" s="44" t="s">
        <v>78</v>
      </c>
      <c r="D26" s="36" t="s">
        <v>79</v>
      </c>
      <c r="E26" s="45">
        <v>4</v>
      </c>
      <c r="F26" s="50">
        <v>0.8</v>
      </c>
      <c r="G26" s="75" t="s">
        <v>140</v>
      </c>
      <c r="H26" s="76"/>
      <c r="I26" s="76"/>
      <c r="J26" s="76"/>
      <c r="K26" s="76"/>
      <c r="L26" s="26"/>
      <c r="M26" s="36" t="s">
        <v>81</v>
      </c>
      <c r="N26" s="36" t="s">
        <v>82</v>
      </c>
      <c r="O26" s="36" t="s">
        <v>83</v>
      </c>
      <c r="P26" s="26"/>
      <c r="Q26" s="26"/>
      <c r="R26" s="26"/>
      <c r="S26" s="26"/>
      <c r="T26" s="26"/>
      <c r="U26" s="26"/>
      <c r="V26" s="26"/>
      <c r="W26" s="26"/>
      <c r="X26" s="26"/>
      <c r="Y26" s="26"/>
      <c r="Z26" s="26"/>
    </row>
    <row r="27" spans="1:26" ht="45.75" customHeight="1" x14ac:dyDescent="0.25">
      <c r="A27" s="46">
        <v>4</v>
      </c>
      <c r="B27" s="47" t="s">
        <v>84</v>
      </c>
      <c r="C27" s="48" t="s">
        <v>85</v>
      </c>
      <c r="D27" s="41" t="s">
        <v>86</v>
      </c>
      <c r="E27" s="45">
        <v>3.5</v>
      </c>
      <c r="F27" s="51">
        <v>0.6</v>
      </c>
      <c r="G27" s="84" t="s">
        <v>141</v>
      </c>
      <c r="H27" s="76"/>
      <c r="I27" s="76"/>
      <c r="J27" s="76"/>
      <c r="K27" s="76"/>
      <c r="L27" s="26"/>
      <c r="M27" s="41" t="s">
        <v>88</v>
      </c>
      <c r="N27" s="41" t="s">
        <v>89</v>
      </c>
      <c r="O27" s="41" t="s">
        <v>90</v>
      </c>
      <c r="P27" s="26"/>
      <c r="Q27" s="26"/>
      <c r="R27" s="26"/>
      <c r="S27" s="26"/>
      <c r="T27" s="26"/>
      <c r="U27" s="26"/>
      <c r="V27" s="26"/>
      <c r="W27" s="26"/>
      <c r="X27" s="26"/>
      <c r="Y27" s="26"/>
      <c r="Z27" s="26"/>
    </row>
    <row r="28" spans="1:26" ht="60" customHeight="1" x14ac:dyDescent="0.25">
      <c r="A28" s="42">
        <v>5</v>
      </c>
      <c r="B28" s="43" t="s">
        <v>91</v>
      </c>
      <c r="C28" s="44" t="s">
        <v>85</v>
      </c>
      <c r="D28" s="36" t="s">
        <v>92</v>
      </c>
      <c r="E28" s="45">
        <v>4</v>
      </c>
      <c r="F28" s="51">
        <v>0.75</v>
      </c>
      <c r="G28" s="75" t="s">
        <v>142</v>
      </c>
      <c r="H28" s="76"/>
      <c r="I28" s="76"/>
      <c r="J28" s="76"/>
      <c r="K28" s="76"/>
      <c r="L28" s="26"/>
      <c r="M28" s="36" t="s">
        <v>94</v>
      </c>
      <c r="N28" s="36" t="s">
        <v>95</v>
      </c>
      <c r="O28" s="36" t="s">
        <v>96</v>
      </c>
      <c r="P28" s="26"/>
      <c r="Q28" s="26"/>
      <c r="R28" s="26"/>
      <c r="S28" s="26"/>
      <c r="T28" s="26"/>
      <c r="U28" s="26"/>
      <c r="V28" s="26"/>
      <c r="W28" s="26"/>
      <c r="X28" s="26"/>
      <c r="Y28" s="26"/>
      <c r="Z28" s="26"/>
    </row>
    <row r="29" spans="1:26" ht="19.5" customHeight="1" x14ac:dyDescent="0.25">
      <c r="A29" s="81" t="s">
        <v>97</v>
      </c>
      <c r="B29" s="71"/>
      <c r="C29" s="71"/>
      <c r="D29" s="74"/>
      <c r="E29" s="49">
        <f>SUM(F24:F28)</f>
        <v>4.1500000000000004</v>
      </c>
      <c r="F29" s="99" t="s">
        <v>98</v>
      </c>
      <c r="G29" s="76"/>
      <c r="H29" s="76"/>
      <c r="I29" s="76"/>
      <c r="J29" s="76"/>
      <c r="K29" s="83"/>
      <c r="L29" s="26"/>
      <c r="M29" s="26"/>
      <c r="N29" s="26"/>
      <c r="O29" s="26"/>
      <c r="P29" s="26"/>
      <c r="Q29" s="26"/>
      <c r="R29" s="26"/>
      <c r="S29" s="26"/>
      <c r="T29" s="26"/>
      <c r="U29" s="26"/>
      <c r="V29" s="26"/>
      <c r="W29" s="26"/>
      <c r="X29" s="26"/>
      <c r="Y29" s="26"/>
      <c r="Z29" s="26"/>
    </row>
    <row r="30" spans="1:26" ht="19.5" customHeight="1" x14ac:dyDescent="0.25">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spans="1:26" ht="21.75" customHeight="1" x14ac:dyDescent="0.25">
      <c r="A31" s="97" t="s">
        <v>99</v>
      </c>
      <c r="B31" s="97"/>
      <c r="C31" s="97"/>
      <c r="D31" s="97"/>
      <c r="E31" s="97"/>
      <c r="F31" s="97"/>
      <c r="G31" s="98">
        <f>E29*K13+J20*K22</f>
        <v>4.1575000000000006</v>
      </c>
      <c r="H31" s="98"/>
      <c r="I31" s="98"/>
      <c r="J31" s="98"/>
      <c r="K31" s="98"/>
      <c r="L31" s="26"/>
      <c r="M31" s="26"/>
      <c r="N31" s="26"/>
      <c r="O31" s="26"/>
      <c r="P31" s="26"/>
      <c r="Q31" s="26"/>
      <c r="R31" s="26"/>
      <c r="S31" s="26"/>
      <c r="T31" s="26"/>
      <c r="U31" s="26"/>
      <c r="V31" s="26"/>
      <c r="W31" s="26"/>
      <c r="X31" s="26"/>
      <c r="Y31" s="26"/>
      <c r="Z31" s="26"/>
    </row>
    <row r="32" spans="1:26" ht="19.5" customHeight="1" x14ac:dyDescent="0.25">
      <c r="A32" s="85" t="s">
        <v>100</v>
      </c>
      <c r="B32" s="86"/>
      <c r="C32" s="87" t="s">
        <v>101</v>
      </c>
      <c r="D32" s="76"/>
      <c r="E32" s="76"/>
      <c r="F32" s="76"/>
      <c r="G32" s="76"/>
      <c r="H32" s="76"/>
      <c r="I32" s="76"/>
      <c r="J32" s="76"/>
      <c r="K32" s="83"/>
      <c r="L32" s="26"/>
      <c r="M32" s="26"/>
      <c r="N32" s="26"/>
      <c r="O32" s="26"/>
      <c r="P32" s="26"/>
      <c r="Q32" s="26"/>
      <c r="R32" s="26"/>
      <c r="S32" s="26"/>
      <c r="T32" s="26"/>
      <c r="U32" s="26"/>
      <c r="V32" s="26"/>
      <c r="W32" s="26"/>
      <c r="X32" s="26"/>
      <c r="Y32" s="26"/>
      <c r="Z32" s="26"/>
    </row>
    <row r="33" spans="1:26" ht="19.5" customHeight="1" x14ac:dyDescent="0.25">
      <c r="A33" s="85" t="s">
        <v>102</v>
      </c>
      <c r="B33" s="86"/>
      <c r="C33" s="87" t="s">
        <v>103</v>
      </c>
      <c r="D33" s="76"/>
      <c r="E33" s="76"/>
      <c r="F33" s="76"/>
      <c r="G33" s="76"/>
      <c r="H33" s="76"/>
      <c r="I33" s="76"/>
      <c r="J33" s="76"/>
      <c r="K33" s="83"/>
      <c r="L33" s="26"/>
      <c r="M33" s="26"/>
      <c r="N33" s="26"/>
      <c r="O33" s="26"/>
      <c r="P33" s="26"/>
      <c r="Q33" s="26"/>
      <c r="R33" s="26"/>
      <c r="S33" s="26"/>
      <c r="T33" s="26"/>
      <c r="U33" s="26"/>
      <c r="V33" s="26"/>
      <c r="W33" s="26"/>
      <c r="X33" s="26"/>
      <c r="Y33" s="26"/>
      <c r="Z33" s="26"/>
    </row>
    <row r="34" spans="1:26" ht="19.5" customHeight="1" x14ac:dyDescent="0.25">
      <c r="A34" s="88" t="s">
        <v>104</v>
      </c>
      <c r="B34" s="89"/>
      <c r="C34" s="90" t="s">
        <v>105</v>
      </c>
      <c r="D34" s="76"/>
      <c r="E34" s="76"/>
      <c r="F34" s="76"/>
      <c r="G34" s="76"/>
      <c r="H34" s="76"/>
      <c r="I34" s="76"/>
      <c r="J34" s="76"/>
      <c r="K34" s="83"/>
      <c r="L34" s="26"/>
      <c r="M34" s="26"/>
      <c r="N34" s="26"/>
      <c r="O34" s="26"/>
      <c r="P34" s="26"/>
      <c r="Q34" s="26"/>
      <c r="R34" s="26"/>
      <c r="S34" s="26"/>
      <c r="T34" s="26"/>
      <c r="U34" s="26"/>
      <c r="V34" s="26"/>
      <c r="W34" s="26"/>
      <c r="X34" s="26"/>
      <c r="Y34" s="26"/>
      <c r="Z34" s="26"/>
    </row>
    <row r="35" spans="1:26" ht="19.5" customHeight="1" x14ac:dyDescent="0.25">
      <c r="A35" s="91" t="s">
        <v>106</v>
      </c>
      <c r="B35" s="86"/>
      <c r="C35" s="90" t="s">
        <v>107</v>
      </c>
      <c r="D35" s="76"/>
      <c r="E35" s="76"/>
      <c r="F35" s="76"/>
      <c r="G35" s="76"/>
      <c r="H35" s="76"/>
      <c r="I35" s="76"/>
      <c r="J35" s="76"/>
      <c r="K35" s="83"/>
      <c r="L35" s="26"/>
      <c r="M35" s="26"/>
      <c r="N35" s="26"/>
      <c r="O35" s="26"/>
      <c r="P35" s="26"/>
      <c r="Q35" s="26"/>
      <c r="R35" s="26"/>
      <c r="S35" s="26"/>
      <c r="T35" s="26"/>
      <c r="U35" s="26"/>
      <c r="V35" s="26"/>
      <c r="W35" s="26"/>
      <c r="X35" s="26"/>
      <c r="Y35" s="26"/>
      <c r="Z35" s="26"/>
    </row>
    <row r="36" spans="1:26" ht="19.5" customHeight="1" x14ac:dyDescent="0.25">
      <c r="A36" s="92" t="s">
        <v>108</v>
      </c>
      <c r="B36" s="74"/>
      <c r="C36" s="93" t="s">
        <v>109</v>
      </c>
      <c r="D36" s="76"/>
      <c r="E36" s="76"/>
      <c r="F36" s="76"/>
      <c r="G36" s="76"/>
      <c r="H36" s="76"/>
      <c r="I36" s="76"/>
      <c r="J36" s="76"/>
      <c r="K36" s="83"/>
      <c r="L36" s="26"/>
      <c r="M36" s="26"/>
      <c r="N36" s="26"/>
      <c r="O36" s="26"/>
      <c r="P36" s="26"/>
      <c r="Q36" s="26"/>
      <c r="R36" s="26"/>
      <c r="S36" s="26"/>
      <c r="T36" s="26"/>
      <c r="U36" s="26"/>
      <c r="V36" s="26"/>
      <c r="W36" s="26"/>
      <c r="X36" s="26"/>
      <c r="Y36" s="26"/>
      <c r="Z36" s="26"/>
    </row>
    <row r="37" spans="1:26" ht="19.5" customHeight="1" x14ac:dyDescent="0.25">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spans="1:26" ht="19.5" customHeight="1" x14ac:dyDescent="0.25">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spans="1:26" ht="19.5" customHeight="1" x14ac:dyDescent="0.25">
      <c r="A39" s="94" t="s">
        <v>110</v>
      </c>
      <c r="B39" s="83"/>
      <c r="C39" s="95" t="s">
        <v>111</v>
      </c>
      <c r="D39" s="76"/>
      <c r="E39" s="76"/>
      <c r="F39" s="76"/>
      <c r="G39" s="76"/>
      <c r="H39" s="76"/>
      <c r="I39" s="76"/>
      <c r="J39" s="76"/>
      <c r="K39" s="83"/>
      <c r="L39" s="26"/>
      <c r="M39" s="26"/>
      <c r="N39" s="26"/>
      <c r="O39" s="26"/>
      <c r="P39" s="26"/>
      <c r="Q39" s="26"/>
      <c r="R39" s="26"/>
      <c r="S39" s="26"/>
      <c r="T39" s="26"/>
      <c r="U39" s="26"/>
      <c r="V39" s="26"/>
      <c r="W39" s="26"/>
      <c r="X39" s="26"/>
      <c r="Y39" s="26"/>
      <c r="Z39" s="26"/>
    </row>
    <row r="40" spans="1:26" ht="19.5" customHeight="1" x14ac:dyDescent="0.25">
      <c r="A40" s="94" t="s">
        <v>112</v>
      </c>
      <c r="B40" s="83"/>
      <c r="C40" s="95" t="s">
        <v>5</v>
      </c>
      <c r="D40" s="76"/>
      <c r="E40" s="76"/>
      <c r="F40" s="76"/>
      <c r="G40" s="76"/>
      <c r="H40" s="76"/>
      <c r="I40" s="76"/>
      <c r="J40" s="76"/>
      <c r="K40" s="83"/>
      <c r="L40" s="26"/>
      <c r="M40" s="26"/>
      <c r="N40" s="26"/>
      <c r="O40" s="26"/>
      <c r="P40" s="26"/>
      <c r="Q40" s="26"/>
      <c r="R40" s="26"/>
      <c r="S40" s="26"/>
      <c r="T40" s="26"/>
      <c r="U40" s="26"/>
      <c r="V40" s="26"/>
      <c r="W40" s="26"/>
      <c r="X40" s="26"/>
      <c r="Y40" s="26"/>
      <c r="Z40" s="26"/>
    </row>
    <row r="41" spans="1:26" ht="19.5" customHeight="1" x14ac:dyDescent="0.25">
      <c r="A41" s="94" t="s">
        <v>113</v>
      </c>
      <c r="B41" s="83"/>
      <c r="C41" s="95" t="s">
        <v>114</v>
      </c>
      <c r="D41" s="76"/>
      <c r="E41" s="76"/>
      <c r="F41" s="76"/>
      <c r="G41" s="76"/>
      <c r="H41" s="76"/>
      <c r="I41" s="76"/>
      <c r="J41" s="76"/>
      <c r="K41" s="83"/>
      <c r="L41" s="26"/>
      <c r="M41" s="26"/>
      <c r="N41" s="26"/>
      <c r="O41" s="26"/>
      <c r="P41" s="26"/>
      <c r="Q41" s="26"/>
      <c r="R41" s="26"/>
      <c r="S41" s="26"/>
      <c r="T41" s="26"/>
      <c r="U41" s="26"/>
      <c r="V41" s="26"/>
      <c r="W41" s="26"/>
      <c r="X41" s="26"/>
      <c r="Y41" s="26"/>
      <c r="Z41" s="26"/>
    </row>
    <row r="42" spans="1:26" ht="15.75" customHeight="1" x14ac:dyDescent="0.25">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spans="1:26" ht="72.599999999999994" customHeight="1" x14ac:dyDescent="0.25">
      <c r="A43" s="104" t="s">
        <v>202</v>
      </c>
      <c r="B43" s="104"/>
      <c r="C43" s="105" t="s">
        <v>203</v>
      </c>
      <c r="D43" s="106"/>
      <c r="E43" s="106"/>
      <c r="F43" s="106"/>
      <c r="G43" s="106"/>
      <c r="H43" s="106"/>
      <c r="I43" s="106"/>
      <c r="J43" s="106"/>
      <c r="K43" s="106"/>
      <c r="L43" s="26"/>
      <c r="M43" s="26"/>
      <c r="N43" s="26"/>
      <c r="O43" s="26"/>
      <c r="P43" s="26"/>
      <c r="Q43" s="26"/>
      <c r="R43" s="26"/>
      <c r="S43" s="26"/>
      <c r="T43" s="26"/>
      <c r="U43" s="26"/>
      <c r="V43" s="26"/>
      <c r="W43" s="26"/>
      <c r="X43" s="26"/>
      <c r="Y43" s="26"/>
      <c r="Z43" s="26"/>
    </row>
    <row r="44" spans="1:26" ht="15.75" customHeight="1" x14ac:dyDescent="0.25">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spans="1:26" ht="15.75" customHeight="1" x14ac:dyDescent="0.2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spans="1:26" ht="15.75" customHeight="1" x14ac:dyDescent="0.25">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spans="1:26" ht="15.75" customHeight="1" x14ac:dyDescent="0.25">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spans="1:26" ht="15.75" customHeight="1" x14ac:dyDescent="0.25">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spans="1:26" ht="15.75" customHeight="1" x14ac:dyDescent="0.25">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spans="1:26" ht="15.75" customHeight="1" x14ac:dyDescent="0.25">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spans="1:26" ht="15.75" customHeight="1" x14ac:dyDescent="0.25">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spans="1:26" ht="15.75" customHeight="1" x14ac:dyDescent="0.25">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spans="1:26" ht="15.75" customHeight="1" x14ac:dyDescent="0.25">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spans="1:26" ht="15.75" customHeight="1" x14ac:dyDescent="0.25">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spans="1:26" ht="15.75" customHeight="1" x14ac:dyDescent="0.2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spans="1:26" ht="15.75" customHeight="1" x14ac:dyDescent="0.25">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spans="1:26" ht="15.75" customHeight="1" x14ac:dyDescent="0.25">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spans="1:26" ht="15.75" customHeight="1" x14ac:dyDescent="0.25">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spans="1:26" ht="15.75" customHeight="1" x14ac:dyDescent="0.25">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spans="1:26" ht="15.75" customHeight="1" x14ac:dyDescent="0.25">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spans="1:26" ht="15.75" customHeight="1" x14ac:dyDescent="0.25">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spans="1:26" ht="15.75" customHeight="1" x14ac:dyDescent="0.25">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spans="1:26" ht="15.75" customHeight="1" x14ac:dyDescent="0.25">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spans="1:26" ht="15.75" customHeight="1" x14ac:dyDescent="0.25">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spans="1:26" ht="15.75" customHeight="1" x14ac:dyDescent="0.2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spans="1:26" ht="15.75" customHeight="1" x14ac:dyDescent="0.25">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spans="1:26" ht="15.75" customHeight="1" x14ac:dyDescent="0.25">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spans="1:26" ht="15.75" customHeight="1" x14ac:dyDescent="0.25">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spans="1:26" ht="15.75" customHeight="1" x14ac:dyDescent="0.25">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spans="1:26" ht="15.75" customHeight="1" x14ac:dyDescent="0.25">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spans="1:26" ht="15.75" customHeight="1" x14ac:dyDescent="0.25">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spans="1:26" ht="15.75" customHeight="1" x14ac:dyDescent="0.25">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spans="1:26" ht="15.75" customHeight="1" x14ac:dyDescent="0.25">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spans="1:26" ht="15.75" customHeight="1" x14ac:dyDescent="0.25">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spans="1:26" ht="15.75" customHeight="1" x14ac:dyDescent="0.2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spans="1:26" ht="15.75" customHeight="1" x14ac:dyDescent="0.25">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spans="1:26" ht="15.75" customHeight="1" x14ac:dyDescent="0.25">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spans="1:26" ht="15.75" customHeight="1" x14ac:dyDescent="0.25">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spans="1:26" ht="15.75" customHeight="1" x14ac:dyDescent="0.25">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spans="1:26" ht="15.75" customHeight="1" x14ac:dyDescent="0.25">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spans="1:26" ht="15.75" customHeight="1" x14ac:dyDescent="0.25">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spans="1:26" ht="15.75" customHeight="1" x14ac:dyDescent="0.25">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spans="1:26" ht="15.75" customHeight="1" x14ac:dyDescent="0.25">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spans="1:26" ht="15.75" customHeight="1" x14ac:dyDescent="0.25">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spans="1:26" ht="15.75" customHeight="1" x14ac:dyDescent="0.2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spans="1:26" ht="15.75" customHeight="1" x14ac:dyDescent="0.25">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spans="1:26" ht="15.75" customHeight="1" x14ac:dyDescent="0.25">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spans="1:26" ht="15.75" customHeight="1" x14ac:dyDescent="0.25">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spans="1:26" ht="15.75" customHeight="1" x14ac:dyDescent="0.25">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spans="1:26" ht="15.75" customHeight="1" x14ac:dyDescent="0.25">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spans="1:26" ht="15.75" customHeight="1" x14ac:dyDescent="0.25">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spans="1:26" ht="15.75" customHeight="1" x14ac:dyDescent="0.25">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spans="1:26" ht="15.75" customHeight="1" x14ac:dyDescent="0.25">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spans="1:26" ht="15.75" customHeight="1" x14ac:dyDescent="0.25">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spans="1:26" ht="15.75" customHeight="1" x14ac:dyDescent="0.2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spans="1:26" ht="15.75" customHeight="1" x14ac:dyDescent="0.25">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spans="1:26" ht="15.75" customHeight="1" x14ac:dyDescent="0.25">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spans="1:26" ht="15.75" customHeight="1" x14ac:dyDescent="0.25">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spans="1:26" ht="15.75" customHeight="1" x14ac:dyDescent="0.25">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spans="1:26" ht="15.75" customHeight="1" x14ac:dyDescent="0.25">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spans="1:26" ht="15.75" customHeight="1" x14ac:dyDescent="0.25">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spans="1:26" ht="15.75" customHeight="1" x14ac:dyDescent="0.25">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spans="1:26" ht="15.75" customHeight="1" x14ac:dyDescent="0.25">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spans="1:26" ht="15.75" customHeight="1" x14ac:dyDescent="0.25">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spans="1:26" ht="15.75" customHeight="1" x14ac:dyDescent="0.2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spans="1:26" ht="15.75" customHeight="1" x14ac:dyDescent="0.25">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spans="1:26" ht="15.75" customHeight="1" x14ac:dyDescent="0.25">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spans="1:26" ht="15.75" customHeight="1" x14ac:dyDescent="0.25">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spans="1:26" ht="15.75" customHeight="1" x14ac:dyDescent="0.25">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spans="1:26" ht="15.75" customHeight="1" x14ac:dyDescent="0.25">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spans="1:26" ht="15.75" customHeight="1" x14ac:dyDescent="0.25">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spans="1:26" ht="15.75" customHeight="1" x14ac:dyDescent="0.25">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spans="1:26" ht="15.75" customHeight="1" x14ac:dyDescent="0.25">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spans="1:26" ht="15.75" customHeight="1" x14ac:dyDescent="0.25">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spans="1:26" ht="15.75" customHeight="1" x14ac:dyDescent="0.2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spans="1:26" ht="15.75" customHeight="1" x14ac:dyDescent="0.25">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spans="1:26" ht="15.75" customHeight="1" x14ac:dyDescent="0.25">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spans="1:26" ht="15.75" customHeight="1" x14ac:dyDescent="0.25">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spans="1:26" ht="15.75" customHeight="1" x14ac:dyDescent="0.25">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spans="1:26" ht="15.75" customHeight="1" x14ac:dyDescent="0.25">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spans="1:26" ht="15.75" customHeight="1" x14ac:dyDescent="0.25">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spans="1:26" ht="15.75" customHeight="1" x14ac:dyDescent="0.25">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spans="1:26" ht="15.75" customHeight="1" x14ac:dyDescent="0.25">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spans="1:26" ht="15.75" customHeight="1" x14ac:dyDescent="0.25">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spans="1:26" ht="15.75" customHeight="1" x14ac:dyDescent="0.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spans="1:26" ht="15.75" customHeight="1" x14ac:dyDescent="0.25">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spans="1:26" ht="15.75" customHeight="1" x14ac:dyDescent="0.25">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spans="1:26" ht="15.75" customHeight="1" x14ac:dyDescent="0.25">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spans="1:26" ht="15.75" customHeight="1" x14ac:dyDescent="0.25">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spans="1:26" ht="15.75" customHeight="1" x14ac:dyDescent="0.25">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spans="1:26" ht="15.75" customHeight="1" x14ac:dyDescent="0.25">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spans="1:26" ht="15.75" customHeight="1" x14ac:dyDescent="0.25">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spans="1:26" ht="15.75" customHeight="1" x14ac:dyDescent="0.25">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spans="1:26" ht="15.75" customHeight="1" x14ac:dyDescent="0.25">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spans="1:26" ht="15.75" customHeight="1" x14ac:dyDescent="0.2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spans="1:26" ht="15.75" customHeight="1" x14ac:dyDescent="0.25">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spans="1:26" ht="15.75" customHeight="1" x14ac:dyDescent="0.25">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spans="1:26" ht="15.75" customHeight="1" x14ac:dyDescent="0.25">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spans="1:26" ht="15.75" customHeight="1" x14ac:dyDescent="0.25">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spans="1:26" ht="15.75" customHeight="1" x14ac:dyDescent="0.25">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spans="1:26" ht="15.75" customHeight="1" x14ac:dyDescent="0.25">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spans="1:26" ht="15.75" customHeight="1" x14ac:dyDescent="0.25">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spans="1:26" ht="15.75" customHeight="1" x14ac:dyDescent="0.25">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spans="1:26" ht="15.75" customHeight="1" x14ac:dyDescent="0.25">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spans="1:26" ht="15.75" customHeight="1" x14ac:dyDescent="0.2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spans="1:26" ht="15.75" customHeight="1" x14ac:dyDescent="0.25">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spans="1:26" ht="15.75" customHeight="1" x14ac:dyDescent="0.25">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spans="1:26" ht="15.75" customHeight="1" x14ac:dyDescent="0.25">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spans="1:26" ht="15.75" customHeight="1" x14ac:dyDescent="0.25">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spans="1:26" ht="15.75" customHeight="1" x14ac:dyDescent="0.25">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spans="1:26" ht="15.75" customHeight="1" x14ac:dyDescent="0.25">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spans="1:26" ht="15.75" customHeight="1" x14ac:dyDescent="0.25">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spans="1:26" ht="15.75" customHeight="1" x14ac:dyDescent="0.25">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spans="1:26" ht="15.75" customHeight="1" x14ac:dyDescent="0.25">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spans="1:26" ht="15.75" customHeight="1" x14ac:dyDescent="0.2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spans="1:26" ht="15.75" customHeight="1" x14ac:dyDescent="0.25">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spans="1:26" ht="15.75" customHeight="1" x14ac:dyDescent="0.25">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spans="1:26" ht="15.75" customHeight="1" x14ac:dyDescent="0.25">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spans="1:26" ht="15.75" customHeight="1" x14ac:dyDescent="0.25">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spans="1:26" ht="15.75" customHeight="1" x14ac:dyDescent="0.25">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spans="1:26" ht="15.75" customHeight="1" x14ac:dyDescent="0.25">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spans="1:26" ht="15.75" customHeight="1" x14ac:dyDescent="0.25">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spans="1:26" ht="15.75" customHeight="1" x14ac:dyDescent="0.25">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spans="1:26" ht="15.75" customHeight="1" x14ac:dyDescent="0.25">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spans="1:26" ht="15.75" customHeight="1" x14ac:dyDescent="0.2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spans="1:26" ht="15.75" customHeight="1" x14ac:dyDescent="0.25">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spans="1:26" ht="15.75" customHeight="1" x14ac:dyDescent="0.25">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spans="1:26" ht="15.75" customHeight="1" x14ac:dyDescent="0.25">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spans="1:26" ht="15.75" customHeight="1" x14ac:dyDescent="0.25">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spans="1:26" ht="15.75" customHeight="1" x14ac:dyDescent="0.25">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spans="1:26" ht="15.75" customHeight="1" x14ac:dyDescent="0.25">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spans="1:26" ht="15.75" customHeight="1" x14ac:dyDescent="0.25">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spans="1:26" ht="15.75" customHeight="1" x14ac:dyDescent="0.25">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spans="1:26" ht="15.75" customHeight="1" x14ac:dyDescent="0.25">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spans="1:26" ht="15.75" customHeight="1" x14ac:dyDescent="0.2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spans="1:26" ht="15.75" customHeight="1" x14ac:dyDescent="0.25">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spans="1:26" ht="15.75" customHeight="1" x14ac:dyDescent="0.25">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spans="1:26" ht="15.75" customHeight="1" x14ac:dyDescent="0.25">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spans="1:26" ht="15.75" customHeight="1" x14ac:dyDescent="0.25">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spans="1:26" ht="15.75" customHeight="1" x14ac:dyDescent="0.25">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spans="1:26" ht="15.75" customHeight="1" x14ac:dyDescent="0.25">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spans="1:26" ht="15.75" customHeight="1" x14ac:dyDescent="0.25">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spans="1:26" ht="15.75" customHeight="1" x14ac:dyDescent="0.25">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spans="1:26" ht="15.75" customHeight="1" x14ac:dyDescent="0.25">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spans="1:26" ht="15.75" customHeight="1" x14ac:dyDescent="0.2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spans="1:26" ht="15.75" customHeight="1" x14ac:dyDescent="0.25">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spans="1:26" ht="15.75" customHeight="1" x14ac:dyDescent="0.25">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spans="1:26" ht="15.75" customHeight="1" x14ac:dyDescent="0.25">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spans="1:26" ht="15.75" customHeight="1" x14ac:dyDescent="0.25">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spans="1:26" ht="15.75" customHeight="1" x14ac:dyDescent="0.25">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spans="1:26" ht="15.75" customHeight="1" x14ac:dyDescent="0.25">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spans="1:26" ht="15.75" customHeight="1" x14ac:dyDescent="0.25">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spans="1:26" ht="15.75" customHeight="1" x14ac:dyDescent="0.25">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spans="1:26" ht="15.75" customHeight="1" x14ac:dyDescent="0.25">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spans="1:26" ht="15.75" customHeight="1" x14ac:dyDescent="0.2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spans="1:26" ht="15.75" customHeight="1" x14ac:dyDescent="0.25">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spans="1:26" ht="15.75" customHeight="1" x14ac:dyDescent="0.25">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spans="1:26" ht="15.75" customHeight="1" x14ac:dyDescent="0.25">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spans="1:26" ht="15.75" customHeight="1" x14ac:dyDescent="0.25">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spans="1:26" ht="15.75" customHeight="1" x14ac:dyDescent="0.25">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spans="1:26" ht="15.75" customHeight="1" x14ac:dyDescent="0.25">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spans="1:26" ht="15.75" customHeight="1" x14ac:dyDescent="0.25">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spans="1:26" ht="15.75" customHeight="1" x14ac:dyDescent="0.25">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spans="1:26" ht="15.75" customHeight="1" x14ac:dyDescent="0.25">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spans="1:26" ht="15.75" customHeight="1" x14ac:dyDescent="0.2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spans="1:26" ht="15.75" customHeight="1" x14ac:dyDescent="0.25">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spans="1:26" ht="15.75" customHeight="1" x14ac:dyDescent="0.25">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spans="1:26" ht="15.75" customHeight="1" x14ac:dyDescent="0.25">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spans="1:26" ht="15.75" customHeight="1" x14ac:dyDescent="0.25">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spans="1:26" ht="15.75" customHeight="1" x14ac:dyDescent="0.25">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spans="1:26" ht="15.75" customHeight="1" x14ac:dyDescent="0.25">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spans="1:26" ht="15.75" customHeight="1" x14ac:dyDescent="0.25">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spans="1:26" ht="15.75" customHeight="1" x14ac:dyDescent="0.25">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spans="1:26" ht="15.75" customHeight="1" x14ac:dyDescent="0.25">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spans="1:26" ht="15.75" customHeight="1" x14ac:dyDescent="0.2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spans="1:26" ht="15.75" customHeight="1" x14ac:dyDescent="0.25">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spans="1:26" ht="15.75" customHeight="1" x14ac:dyDescent="0.25">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spans="1:26" ht="15.75" customHeight="1" x14ac:dyDescent="0.25">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spans="1:26" ht="15.75" customHeight="1" x14ac:dyDescent="0.25">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spans="1:26" ht="15.75" customHeight="1" x14ac:dyDescent="0.25">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spans="1:26" ht="15.75" customHeight="1" x14ac:dyDescent="0.25">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spans="1:26" ht="15.75" customHeight="1" x14ac:dyDescent="0.25">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spans="1:26" ht="15.75" customHeight="1" x14ac:dyDescent="0.25">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spans="1:26" ht="15.75" customHeight="1" x14ac:dyDescent="0.25">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spans="1:26" ht="15.75" customHeight="1" x14ac:dyDescent="0.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spans="1:26" ht="15.75" customHeight="1" x14ac:dyDescent="0.25">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spans="1:26" ht="15.75" customHeight="1" x14ac:dyDescent="0.25">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spans="1:26" ht="15.75" customHeight="1" x14ac:dyDescent="0.25">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spans="1:26" ht="15.75" customHeight="1" x14ac:dyDescent="0.25">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spans="1:26" ht="15.75" customHeight="1" x14ac:dyDescent="0.25">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spans="1:26" ht="15.75" customHeight="1" x14ac:dyDescent="0.25">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spans="1:26" ht="15.75" customHeight="1" x14ac:dyDescent="0.25">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spans="1:26" ht="15.75" customHeight="1" x14ac:dyDescent="0.25">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spans="1:26" ht="15.75" customHeight="1" x14ac:dyDescent="0.25">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spans="1:26" ht="15.75" customHeight="1" x14ac:dyDescent="0.2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spans="1:26" ht="15.75" customHeight="1" x14ac:dyDescent="0.25">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spans="1:26" ht="15.75" customHeight="1" x14ac:dyDescent="0.25">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spans="1:26" ht="15.75" customHeight="1" x14ac:dyDescent="0.25">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spans="1:26" ht="15.75" customHeight="1" x14ac:dyDescent="0.25">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spans="1:26" ht="15.75" customHeight="1" x14ac:dyDescent="0.25">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spans="1:26" ht="15.75" customHeight="1" x14ac:dyDescent="0.25">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spans="1:26" ht="15.75" customHeight="1" x14ac:dyDescent="0.25"/>
    <row r="243" spans="1:26" ht="15.75" customHeight="1" x14ac:dyDescent="0.25"/>
    <row r="244" spans="1:26" ht="15.75" customHeight="1" x14ac:dyDescent="0.25"/>
    <row r="245" spans="1:26" ht="15.75" customHeight="1" x14ac:dyDescent="0.25"/>
    <row r="246" spans="1:26" ht="15.75" customHeight="1" x14ac:dyDescent="0.25"/>
    <row r="247" spans="1:26" ht="15.75" customHeight="1" x14ac:dyDescent="0.25"/>
    <row r="248" spans="1:26" ht="15.75" customHeight="1" x14ac:dyDescent="0.25"/>
    <row r="249" spans="1:26" ht="15.75" customHeight="1" x14ac:dyDescent="0.25"/>
    <row r="250" spans="1:26" ht="15.75" customHeight="1" x14ac:dyDescent="0.25"/>
    <row r="251" spans="1:26" ht="15.75" customHeight="1" x14ac:dyDescent="0.25"/>
    <row r="252" spans="1:26" ht="15.75" customHeight="1" x14ac:dyDescent="0.25"/>
    <row r="253" spans="1:26" ht="15.75" customHeight="1" x14ac:dyDescent="0.25"/>
    <row r="254" spans="1:26" ht="15.75" customHeight="1" x14ac:dyDescent="0.25"/>
    <row r="255" spans="1:26" ht="15.75" customHeight="1" x14ac:dyDescent="0.25"/>
    <row r="256" spans="1:2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mergeCells count="58">
    <mergeCell ref="A20:B20"/>
    <mergeCell ref="A21:B21"/>
    <mergeCell ref="A23:B23"/>
    <mergeCell ref="G23:K23"/>
    <mergeCell ref="A43:B43"/>
    <mergeCell ref="C43:K43"/>
    <mergeCell ref="A40:B40"/>
    <mergeCell ref="C40:K40"/>
    <mergeCell ref="A41:B41"/>
    <mergeCell ref="C41:K41"/>
    <mergeCell ref="A31:F31"/>
    <mergeCell ref="G31:K31"/>
    <mergeCell ref="A22:I22"/>
    <mergeCell ref="G24:K24"/>
    <mergeCell ref="G25:K25"/>
    <mergeCell ref="G26:K26"/>
    <mergeCell ref="G27:K27"/>
    <mergeCell ref="G28:K28"/>
    <mergeCell ref="A29:D29"/>
    <mergeCell ref="F29:K29"/>
    <mergeCell ref="A35:B35"/>
    <mergeCell ref="C35:K35"/>
    <mergeCell ref="A36:B36"/>
    <mergeCell ref="C36:K36"/>
    <mergeCell ref="A39:B39"/>
    <mergeCell ref="C39:K39"/>
    <mergeCell ref="A32:B32"/>
    <mergeCell ref="C32:K32"/>
    <mergeCell ref="A33:B33"/>
    <mergeCell ref="C33:K33"/>
    <mergeCell ref="A34:B34"/>
    <mergeCell ref="C34:K34"/>
    <mergeCell ref="E17:F17"/>
    <mergeCell ref="G17:H17"/>
    <mergeCell ref="E18:F18"/>
    <mergeCell ref="G18:H18"/>
    <mergeCell ref="E19:F19"/>
    <mergeCell ref="G19:H19"/>
    <mergeCell ref="A14:B14"/>
    <mergeCell ref="E14:F14"/>
    <mergeCell ref="G14:H14"/>
    <mergeCell ref="E16:F16"/>
    <mergeCell ref="G16:H16"/>
    <mergeCell ref="E15:F15"/>
    <mergeCell ref="G15:H15"/>
    <mergeCell ref="A13:I13"/>
    <mergeCell ref="A9:B9"/>
    <mergeCell ref="C9:K9"/>
    <mergeCell ref="A10:B10"/>
    <mergeCell ref="C10:K10"/>
    <mergeCell ref="A11:B11"/>
    <mergeCell ref="C11:K11"/>
    <mergeCell ref="A4:K4"/>
    <mergeCell ref="A5:K5"/>
    <mergeCell ref="A7:B7"/>
    <mergeCell ref="C7:K7"/>
    <mergeCell ref="A8:B8"/>
    <mergeCell ref="C8:K8"/>
  </mergeCells>
  <pageMargins left="0.5" right="0.5" top="0.25" bottom="0.25" header="0" footer="0"/>
  <pageSetup paperSize="9" scale="65" fitToHeight="0" orientation="landscape" r:id="rId1"/>
  <rowBreaks count="2" manualBreakCount="2">
    <brk id="27" max="10" man="1"/>
    <brk id="48" max="10" man="1"/>
  </rowBreaks>
  <colBreaks count="1" manualBreakCount="1">
    <brk id="11"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9035B-3A32-4B5F-ACDC-4F15A92ACD93}">
  <sheetPr>
    <outlinePr summaryBelow="0" summaryRight="0"/>
    <pageSetUpPr fitToPage="1"/>
  </sheetPr>
  <dimension ref="A1"/>
  <sheetViews>
    <sheetView view="pageBreakPreview" zoomScale="60" zoomScaleNormal="100" workbookViewId="0">
      <selection activeCell="G31" sqref="G31:K31"/>
    </sheetView>
  </sheetViews>
  <sheetFormatPr defaultColWidth="14.42578125" defaultRowHeight="15" customHeight="1" x14ac:dyDescent="0.25"/>
  <cols>
    <col min="1" max="16384" width="14.42578125" style="27"/>
  </cols>
  <sheetData/>
  <pageMargins left="0.25" right="0.25" top="0.75" bottom="0.75" header="0.3" footer="0.3"/>
  <pageSetup paperSize="9" scale="8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0F0C2-0D45-4DEF-BDFA-0EDAC313D16E}">
  <sheetPr>
    <pageSetUpPr fitToPage="1"/>
  </sheetPr>
  <dimension ref="A1:Z1000"/>
  <sheetViews>
    <sheetView showGridLines="0" view="pageBreakPreview" zoomScale="93" zoomScaleNormal="75" workbookViewId="0">
      <pane ySplit="6" topLeftCell="A27" activePane="bottomLeft" state="frozen"/>
      <selection activeCell="A8" sqref="A8:B8"/>
      <selection pane="bottomLeft" activeCell="B16" sqref="B16"/>
    </sheetView>
  </sheetViews>
  <sheetFormatPr defaultColWidth="14.42578125" defaultRowHeight="15" customHeight="1" x14ac:dyDescent="0.25"/>
  <cols>
    <col min="1" max="1" width="8.7109375" style="27" customWidth="1"/>
    <col min="2" max="2" width="44.28515625" style="27" customWidth="1"/>
    <col min="3" max="3" width="9" style="27" customWidth="1"/>
    <col min="4" max="4" width="41.85546875" style="27" customWidth="1"/>
    <col min="5" max="8" width="15.85546875" style="27" customWidth="1"/>
    <col min="9" max="9" width="15" style="27" customWidth="1"/>
    <col min="10" max="10" width="12" style="27" customWidth="1"/>
    <col min="11" max="11" width="25" style="27" customWidth="1"/>
    <col min="12" max="12" width="4.28515625" style="27" customWidth="1"/>
    <col min="13" max="13" width="22.5703125" style="27" customWidth="1"/>
    <col min="14" max="14" width="21.85546875" style="27" customWidth="1"/>
    <col min="15" max="15" width="17.7109375" style="27" customWidth="1"/>
    <col min="16" max="26" width="8.7109375" style="27" customWidth="1"/>
    <col min="27" max="16384" width="14.42578125" style="27"/>
  </cols>
  <sheetData>
    <row r="1" spans="1:26" ht="44.25" customHeight="1" x14ac:dyDescent="0.25">
      <c r="A1" s="26"/>
      <c r="B1" s="26"/>
      <c r="C1" s="26"/>
      <c r="D1" s="26"/>
      <c r="E1" s="26"/>
      <c r="F1" s="26"/>
      <c r="G1" s="26"/>
      <c r="H1" s="26"/>
      <c r="I1" s="26"/>
      <c r="J1" s="26"/>
      <c r="K1" s="26"/>
      <c r="L1" s="26"/>
      <c r="M1" s="26"/>
      <c r="N1" s="26"/>
      <c r="O1" s="26"/>
      <c r="P1" s="26"/>
      <c r="Q1" s="26"/>
      <c r="R1" s="26"/>
      <c r="S1" s="26"/>
      <c r="T1" s="26"/>
      <c r="U1" s="26"/>
      <c r="V1" s="26"/>
      <c r="W1" s="26"/>
      <c r="X1" s="26"/>
      <c r="Y1" s="26"/>
      <c r="Z1" s="26"/>
    </row>
    <row r="2" spans="1:26" ht="14.25" customHeight="1" x14ac:dyDescent="0.25">
      <c r="A2" s="26"/>
      <c r="B2" s="26"/>
      <c r="C2" s="26"/>
      <c r="D2" s="26"/>
      <c r="E2" s="26"/>
      <c r="F2" s="26"/>
      <c r="G2" s="26"/>
      <c r="H2" s="26"/>
      <c r="I2" s="26"/>
      <c r="J2" s="26"/>
      <c r="K2" s="26"/>
      <c r="L2" s="26"/>
      <c r="M2" s="26"/>
      <c r="N2" s="26"/>
      <c r="O2" s="26"/>
      <c r="P2" s="26"/>
      <c r="Q2" s="26"/>
      <c r="R2" s="26"/>
      <c r="S2" s="26"/>
      <c r="T2" s="26"/>
      <c r="U2" s="26"/>
      <c r="V2" s="26"/>
      <c r="W2" s="26"/>
      <c r="X2" s="26"/>
      <c r="Y2" s="26"/>
      <c r="Z2" s="26"/>
    </row>
    <row r="3" spans="1:26" ht="14.25" customHeight="1" x14ac:dyDescent="0.25">
      <c r="A3" s="26"/>
      <c r="B3" s="26"/>
      <c r="C3" s="26"/>
      <c r="D3" s="26"/>
      <c r="E3" s="26"/>
      <c r="F3" s="26"/>
      <c r="G3" s="26"/>
      <c r="H3" s="26"/>
      <c r="I3" s="26"/>
      <c r="J3" s="26"/>
      <c r="K3" s="26"/>
      <c r="L3" s="26"/>
      <c r="M3" s="26"/>
      <c r="N3" s="26"/>
      <c r="O3" s="26"/>
      <c r="P3" s="26"/>
      <c r="Q3" s="26"/>
      <c r="R3" s="26"/>
      <c r="S3" s="26"/>
      <c r="T3" s="26"/>
      <c r="U3" s="26"/>
      <c r="V3" s="26"/>
      <c r="W3" s="26"/>
      <c r="X3" s="26"/>
      <c r="Y3" s="26"/>
      <c r="Z3" s="26"/>
    </row>
    <row r="4" spans="1:26" ht="39.75" customHeight="1" x14ac:dyDescent="0.25">
      <c r="A4" s="70" t="s">
        <v>143</v>
      </c>
      <c r="B4" s="71"/>
      <c r="C4" s="71"/>
      <c r="D4" s="71"/>
      <c r="E4" s="71"/>
      <c r="F4" s="71"/>
      <c r="G4" s="71"/>
      <c r="H4" s="71"/>
      <c r="I4" s="71"/>
      <c r="J4" s="71"/>
      <c r="K4" s="71"/>
    </row>
    <row r="5" spans="1:26" ht="19.5" customHeight="1" x14ac:dyDescent="0.25">
      <c r="A5" s="72" t="s">
        <v>1</v>
      </c>
      <c r="B5" s="71"/>
      <c r="C5" s="71"/>
      <c r="D5" s="71"/>
      <c r="E5" s="71"/>
      <c r="F5" s="71"/>
      <c r="G5" s="71"/>
      <c r="H5" s="71"/>
      <c r="I5" s="71"/>
      <c r="J5" s="71"/>
      <c r="K5" s="71"/>
    </row>
    <row r="6" spans="1:26" ht="19.5" customHeight="1" x14ac:dyDescent="0.25"/>
    <row r="7" spans="1:26" ht="19.5" customHeight="1" x14ac:dyDescent="0.25">
      <c r="A7" s="131" t="s">
        <v>2</v>
      </c>
      <c r="B7" s="132"/>
      <c r="C7" s="133" t="s">
        <v>144</v>
      </c>
      <c r="D7" s="134"/>
      <c r="E7" s="134"/>
      <c r="F7" s="134"/>
      <c r="G7" s="134"/>
      <c r="H7" s="134"/>
      <c r="I7" s="134"/>
      <c r="J7" s="134"/>
      <c r="K7" s="134"/>
    </row>
    <row r="8" spans="1:26" ht="19.5" customHeight="1" x14ac:dyDescent="0.25">
      <c r="A8" s="131" t="s">
        <v>4</v>
      </c>
      <c r="B8" s="132"/>
      <c r="C8" s="133" t="s">
        <v>5</v>
      </c>
      <c r="D8" s="134"/>
      <c r="E8" s="134"/>
      <c r="F8" s="134"/>
      <c r="G8" s="134"/>
      <c r="H8" s="134"/>
      <c r="I8" s="134"/>
      <c r="J8" s="134"/>
      <c r="K8" s="134"/>
    </row>
    <row r="9" spans="1:26" ht="19.5" customHeight="1" x14ac:dyDescent="0.25">
      <c r="A9" s="131" t="s">
        <v>6</v>
      </c>
      <c r="B9" s="132"/>
      <c r="C9" s="135" t="s">
        <v>145</v>
      </c>
      <c r="D9" s="136"/>
      <c r="E9" s="136"/>
      <c r="F9" s="136"/>
      <c r="G9" s="136"/>
      <c r="H9" s="136"/>
      <c r="I9" s="136"/>
      <c r="J9" s="136"/>
      <c r="K9" s="137"/>
    </row>
    <row r="10" spans="1:26" ht="19.5" customHeight="1" x14ac:dyDescent="0.25">
      <c r="A10" s="131" t="s">
        <v>7</v>
      </c>
      <c r="B10" s="132"/>
      <c r="C10" s="133" t="s">
        <v>146</v>
      </c>
      <c r="D10" s="134"/>
      <c r="E10" s="134"/>
      <c r="F10" s="134"/>
      <c r="G10" s="134"/>
      <c r="H10" s="134"/>
      <c r="I10" s="134"/>
      <c r="J10" s="134"/>
      <c r="K10" s="134"/>
    </row>
    <row r="11" spans="1:26" ht="19.5" customHeight="1" x14ac:dyDescent="0.25">
      <c r="A11" s="131" t="s">
        <v>9</v>
      </c>
      <c r="B11" s="132"/>
      <c r="C11" s="138" t="s">
        <v>10</v>
      </c>
      <c r="D11" s="139"/>
      <c r="E11" s="139"/>
      <c r="F11" s="139"/>
      <c r="G11" s="139"/>
      <c r="H11" s="139"/>
      <c r="I11" s="139"/>
      <c r="J11" s="139"/>
      <c r="K11" s="139"/>
    </row>
    <row r="12" spans="1:26" ht="19.5" customHeight="1" x14ac:dyDescent="0.25"/>
    <row r="13" spans="1:26" ht="21.75" customHeight="1" x14ac:dyDescent="0.25">
      <c r="A13" s="77" t="s">
        <v>200</v>
      </c>
      <c r="B13" s="77"/>
      <c r="C13" s="77"/>
      <c r="D13" s="77"/>
      <c r="E13" s="77"/>
      <c r="F13" s="77"/>
      <c r="G13" s="77"/>
      <c r="H13" s="77"/>
      <c r="I13" s="77"/>
      <c r="J13" s="53" t="s">
        <v>12</v>
      </c>
      <c r="K13" s="54">
        <v>0.7</v>
      </c>
      <c r="L13" s="26"/>
    </row>
    <row r="14" spans="1:26" ht="27" customHeight="1" x14ac:dyDescent="0.25">
      <c r="A14" s="81" t="s">
        <v>11</v>
      </c>
      <c r="B14" s="74"/>
      <c r="C14" s="29" t="s">
        <v>12</v>
      </c>
      <c r="D14" s="29" t="s">
        <v>13</v>
      </c>
      <c r="E14" s="82" t="s">
        <v>14</v>
      </c>
      <c r="F14" s="83"/>
      <c r="G14" s="82" t="s">
        <v>15</v>
      </c>
      <c r="H14" s="83"/>
      <c r="I14" s="29" t="s">
        <v>16</v>
      </c>
      <c r="J14" s="29" t="s">
        <v>17</v>
      </c>
      <c r="K14" s="29" t="s">
        <v>18</v>
      </c>
      <c r="L14" s="26"/>
      <c r="M14" s="30" t="s">
        <v>19</v>
      </c>
      <c r="N14" s="30" t="s">
        <v>20</v>
      </c>
      <c r="O14" s="30" t="s">
        <v>21</v>
      </c>
    </row>
    <row r="15" spans="1:26" ht="30.75" customHeight="1" x14ac:dyDescent="0.25">
      <c r="A15" s="31">
        <v>1</v>
      </c>
      <c r="B15" s="32" t="s">
        <v>22</v>
      </c>
      <c r="C15" s="33">
        <v>0.25</v>
      </c>
      <c r="D15" s="34">
        <v>100</v>
      </c>
      <c r="E15" s="75">
        <v>100</v>
      </c>
      <c r="F15" s="96"/>
      <c r="G15" s="75">
        <v>100</v>
      </c>
      <c r="H15" s="96"/>
      <c r="I15" s="35">
        <v>100</v>
      </c>
      <c r="J15" s="35">
        <v>5</v>
      </c>
      <c r="K15" s="35" t="s">
        <v>23</v>
      </c>
      <c r="L15" s="26"/>
      <c r="M15" s="36" t="s">
        <v>147</v>
      </c>
      <c r="N15" s="36" t="s">
        <v>148</v>
      </c>
      <c r="O15" s="36" t="s">
        <v>149</v>
      </c>
    </row>
    <row r="16" spans="1:26" ht="61.5" customHeight="1" x14ac:dyDescent="0.25">
      <c r="A16" s="37">
        <v>2</v>
      </c>
      <c r="B16" s="38" t="s">
        <v>150</v>
      </c>
      <c r="C16" s="39">
        <v>0.25</v>
      </c>
      <c r="D16" s="34" t="s">
        <v>151</v>
      </c>
      <c r="E16" s="84" t="s">
        <v>152</v>
      </c>
      <c r="F16" s="83"/>
      <c r="G16" s="84" t="s">
        <v>153</v>
      </c>
      <c r="H16" s="83"/>
      <c r="I16" s="40" t="s">
        <v>31</v>
      </c>
      <c r="J16" s="40">
        <v>4</v>
      </c>
      <c r="K16" s="40" t="s">
        <v>154</v>
      </c>
      <c r="L16" s="26"/>
      <c r="M16" s="41" t="s">
        <v>155</v>
      </c>
      <c r="N16" s="41" t="s">
        <v>156</v>
      </c>
      <c r="O16" s="41" t="s">
        <v>157</v>
      </c>
    </row>
    <row r="17" spans="1:26" ht="72" customHeight="1" x14ac:dyDescent="0.25">
      <c r="A17" s="31">
        <v>3</v>
      </c>
      <c r="B17" s="38" t="s">
        <v>158</v>
      </c>
      <c r="C17" s="39">
        <v>0.2</v>
      </c>
      <c r="D17" s="34" t="s">
        <v>159</v>
      </c>
      <c r="E17" s="75" t="s">
        <v>160</v>
      </c>
      <c r="F17" s="83"/>
      <c r="G17" s="75" t="s">
        <v>161</v>
      </c>
      <c r="H17" s="83"/>
      <c r="I17" s="35" t="s">
        <v>133</v>
      </c>
      <c r="J17" s="35">
        <v>3.5</v>
      </c>
      <c r="K17" s="35" t="s">
        <v>162</v>
      </c>
      <c r="L17" s="26"/>
      <c r="M17" s="36" t="s">
        <v>163</v>
      </c>
      <c r="N17" s="36" t="s">
        <v>164</v>
      </c>
      <c r="O17" s="36" t="s">
        <v>165</v>
      </c>
    </row>
    <row r="18" spans="1:26" ht="48" customHeight="1" x14ac:dyDescent="0.25">
      <c r="A18" s="37">
        <v>4</v>
      </c>
      <c r="B18" s="32" t="s">
        <v>43</v>
      </c>
      <c r="C18" s="33">
        <v>0.15</v>
      </c>
      <c r="D18" s="34" t="s">
        <v>166</v>
      </c>
      <c r="E18" s="84" t="s">
        <v>167</v>
      </c>
      <c r="F18" s="83"/>
      <c r="G18" s="84" t="s">
        <v>168</v>
      </c>
      <c r="H18" s="83"/>
      <c r="I18" s="40" t="s">
        <v>133</v>
      </c>
      <c r="J18" s="40">
        <v>3.5</v>
      </c>
      <c r="K18" s="40" t="s">
        <v>169</v>
      </c>
      <c r="L18" s="26"/>
      <c r="M18" s="41" t="s">
        <v>170</v>
      </c>
      <c r="N18" s="41" t="s">
        <v>171</v>
      </c>
      <c r="O18" s="41" t="s">
        <v>172</v>
      </c>
    </row>
    <row r="19" spans="1:26" ht="75.75" customHeight="1" x14ac:dyDescent="0.25">
      <c r="A19" s="31">
        <v>5</v>
      </c>
      <c r="B19" s="32" t="s">
        <v>51</v>
      </c>
      <c r="C19" s="33">
        <v>0.15</v>
      </c>
      <c r="D19" s="34" t="s">
        <v>173</v>
      </c>
      <c r="E19" s="75" t="s">
        <v>174</v>
      </c>
      <c r="F19" s="83"/>
      <c r="G19" s="75" t="s">
        <v>175</v>
      </c>
      <c r="H19" s="83"/>
      <c r="I19" s="35" t="s">
        <v>31</v>
      </c>
      <c r="J19" s="35">
        <v>4</v>
      </c>
      <c r="K19" s="35" t="s">
        <v>176</v>
      </c>
      <c r="L19" s="26"/>
      <c r="M19" s="36" t="s">
        <v>177</v>
      </c>
      <c r="N19" s="36" t="s">
        <v>178</v>
      </c>
      <c r="O19" s="36" t="s">
        <v>179</v>
      </c>
    </row>
    <row r="20" spans="1:26" ht="19.5" customHeight="1" x14ac:dyDescent="0.25">
      <c r="A20" s="100" t="s">
        <v>56</v>
      </c>
      <c r="B20" s="101"/>
      <c r="C20" s="29" t="s">
        <v>57</v>
      </c>
      <c r="D20" s="35"/>
      <c r="E20" s="35"/>
      <c r="F20" s="35"/>
      <c r="G20" s="35"/>
      <c r="H20" s="35"/>
      <c r="I20" s="35"/>
      <c r="J20" s="57">
        <f>J15*C15+J16*C16+J17*C17+J18*C18+J19*C19</f>
        <v>4.0750000000000002</v>
      </c>
      <c r="K20" s="35"/>
      <c r="L20" s="26"/>
    </row>
    <row r="21" spans="1:26" ht="19.5" customHeight="1" x14ac:dyDescent="0.25">
      <c r="A21" s="102"/>
      <c r="B21" s="103"/>
    </row>
    <row r="22" spans="1:26" ht="21.75" customHeight="1" x14ac:dyDescent="0.25">
      <c r="A22" s="77" t="s">
        <v>58</v>
      </c>
      <c r="B22" s="77"/>
      <c r="C22" s="77"/>
      <c r="D22" s="77"/>
      <c r="E22" s="77"/>
      <c r="F22" s="77"/>
      <c r="G22" s="77"/>
      <c r="H22" s="77"/>
      <c r="I22" s="77"/>
      <c r="J22" s="53" t="s">
        <v>12</v>
      </c>
      <c r="K22" s="54">
        <v>0.3</v>
      </c>
    </row>
    <row r="23" spans="1:26" ht="29.25" customHeight="1" x14ac:dyDescent="0.25">
      <c r="A23" s="81" t="s">
        <v>59</v>
      </c>
      <c r="B23" s="74"/>
      <c r="C23" s="29" t="s">
        <v>12</v>
      </c>
      <c r="D23" s="29" t="s">
        <v>60</v>
      </c>
      <c r="E23" s="29" t="s">
        <v>61</v>
      </c>
      <c r="F23" s="29" t="s">
        <v>62</v>
      </c>
      <c r="G23" s="82" t="s">
        <v>63</v>
      </c>
      <c r="H23" s="76"/>
      <c r="I23" s="76"/>
      <c r="J23" s="76"/>
      <c r="K23" s="76"/>
      <c r="M23" s="30" t="s">
        <v>19</v>
      </c>
      <c r="N23" s="30" t="s">
        <v>20</v>
      </c>
      <c r="O23" s="30" t="s">
        <v>21</v>
      </c>
    </row>
    <row r="24" spans="1:26" ht="33" customHeight="1" x14ac:dyDescent="0.25">
      <c r="A24" s="42">
        <v>1</v>
      </c>
      <c r="B24" s="43" t="s">
        <v>64</v>
      </c>
      <c r="C24" s="44" t="s">
        <v>65</v>
      </c>
      <c r="D24" s="36" t="s">
        <v>66</v>
      </c>
      <c r="E24" s="45">
        <v>4</v>
      </c>
      <c r="F24" s="35">
        <f t="shared" ref="F24:F28" si="0">IFERROR(VALUE(LEFT(C24,LEN(C24)-1))/100*E24,"")</f>
        <v>1</v>
      </c>
      <c r="G24" s="75" t="s">
        <v>180</v>
      </c>
      <c r="H24" s="76"/>
      <c r="I24" s="76"/>
      <c r="J24" s="76"/>
      <c r="K24" s="76"/>
      <c r="M24" s="36" t="s">
        <v>181</v>
      </c>
      <c r="N24" s="36" t="s">
        <v>182</v>
      </c>
      <c r="O24" s="36" t="s">
        <v>183</v>
      </c>
    </row>
    <row r="25" spans="1:26" ht="33" customHeight="1" x14ac:dyDescent="0.25">
      <c r="A25" s="46">
        <v>2</v>
      </c>
      <c r="B25" s="47" t="s">
        <v>71</v>
      </c>
      <c r="C25" s="48" t="s">
        <v>65</v>
      </c>
      <c r="D25" s="41" t="s">
        <v>72</v>
      </c>
      <c r="E25" s="45">
        <v>4</v>
      </c>
      <c r="F25" s="40">
        <f t="shared" si="0"/>
        <v>1</v>
      </c>
      <c r="G25" s="84" t="s">
        <v>184</v>
      </c>
      <c r="H25" s="76"/>
      <c r="I25" s="76"/>
      <c r="J25" s="76"/>
      <c r="K25" s="76"/>
      <c r="M25" s="41" t="s">
        <v>185</v>
      </c>
      <c r="N25" s="41" t="s">
        <v>186</v>
      </c>
      <c r="O25" s="41" t="s">
        <v>187</v>
      </c>
    </row>
    <row r="26" spans="1:26" ht="33" customHeight="1" x14ac:dyDescent="0.25">
      <c r="A26" s="42">
        <v>3</v>
      </c>
      <c r="B26" s="43" t="s">
        <v>77</v>
      </c>
      <c r="C26" s="44" t="s">
        <v>78</v>
      </c>
      <c r="D26" s="36" t="s">
        <v>79</v>
      </c>
      <c r="E26" s="45">
        <v>4</v>
      </c>
      <c r="F26" s="35">
        <f t="shared" si="0"/>
        <v>0.8</v>
      </c>
      <c r="G26" s="75" t="s">
        <v>188</v>
      </c>
      <c r="H26" s="76"/>
      <c r="I26" s="76"/>
      <c r="J26" s="76"/>
      <c r="K26" s="76"/>
      <c r="M26" s="36" t="s">
        <v>189</v>
      </c>
      <c r="N26" s="36" t="s">
        <v>190</v>
      </c>
      <c r="O26" s="36" t="s">
        <v>191</v>
      </c>
    </row>
    <row r="27" spans="1:26" ht="33" customHeight="1" x14ac:dyDescent="0.25">
      <c r="A27" s="46">
        <v>4</v>
      </c>
      <c r="B27" s="47" t="s">
        <v>84</v>
      </c>
      <c r="C27" s="48" t="s">
        <v>85</v>
      </c>
      <c r="D27" s="41" t="s">
        <v>86</v>
      </c>
      <c r="E27" s="45">
        <v>4</v>
      </c>
      <c r="F27" s="40">
        <f t="shared" si="0"/>
        <v>0.6</v>
      </c>
      <c r="G27" s="84" t="s">
        <v>192</v>
      </c>
      <c r="H27" s="76"/>
      <c r="I27" s="76"/>
      <c r="J27" s="76"/>
      <c r="K27" s="76"/>
      <c r="M27" s="41" t="s">
        <v>193</v>
      </c>
      <c r="N27" s="41" t="s">
        <v>194</v>
      </c>
      <c r="O27" s="41" t="s">
        <v>195</v>
      </c>
    </row>
    <row r="28" spans="1:26" ht="33" customHeight="1" x14ac:dyDescent="0.25">
      <c r="A28" s="42">
        <v>5</v>
      </c>
      <c r="B28" s="43" t="s">
        <v>91</v>
      </c>
      <c r="C28" s="44" t="s">
        <v>85</v>
      </c>
      <c r="D28" s="36" t="s">
        <v>92</v>
      </c>
      <c r="E28" s="45">
        <v>4</v>
      </c>
      <c r="F28" s="40">
        <f t="shared" si="0"/>
        <v>0.6</v>
      </c>
      <c r="G28" s="75" t="s">
        <v>196</v>
      </c>
      <c r="H28" s="76"/>
      <c r="I28" s="76"/>
      <c r="J28" s="76"/>
      <c r="K28" s="76"/>
      <c r="M28" s="36" t="s">
        <v>197</v>
      </c>
      <c r="N28" s="36" t="s">
        <v>198</v>
      </c>
      <c r="O28" s="36" t="s">
        <v>199</v>
      </c>
    </row>
    <row r="29" spans="1:26" ht="19.5" customHeight="1" x14ac:dyDescent="0.25">
      <c r="A29" s="81" t="s">
        <v>97</v>
      </c>
      <c r="B29" s="71"/>
      <c r="C29" s="71"/>
      <c r="D29" s="74"/>
      <c r="E29" s="49">
        <f>SUM(F24:F28)</f>
        <v>4</v>
      </c>
      <c r="F29" s="99" t="s">
        <v>98</v>
      </c>
      <c r="G29" s="76"/>
      <c r="H29" s="76"/>
      <c r="I29" s="76"/>
      <c r="J29" s="76"/>
      <c r="K29" s="83"/>
    </row>
    <row r="30" spans="1:26" ht="19.5" customHeight="1" x14ac:dyDescent="0.25"/>
    <row r="31" spans="1:26" s="56" customFormat="1" ht="21.75" customHeight="1" x14ac:dyDescent="0.3">
      <c r="A31" s="97" t="s">
        <v>99</v>
      </c>
      <c r="B31" s="97"/>
      <c r="C31" s="97"/>
      <c r="D31" s="97"/>
      <c r="E31" s="97"/>
      <c r="F31" s="97"/>
      <c r="G31" s="98">
        <f>E29*K13+J20*K22</f>
        <v>4.0225</v>
      </c>
      <c r="H31" s="98"/>
      <c r="I31" s="98"/>
      <c r="J31" s="98"/>
      <c r="K31" s="98"/>
      <c r="L31" s="55"/>
      <c r="M31" s="55"/>
      <c r="N31" s="55"/>
      <c r="O31" s="55"/>
      <c r="P31" s="55"/>
      <c r="Q31" s="55"/>
      <c r="R31" s="55"/>
      <c r="S31" s="55"/>
      <c r="T31" s="55"/>
      <c r="U31" s="55"/>
      <c r="V31" s="55"/>
      <c r="W31" s="55"/>
      <c r="X31" s="55"/>
      <c r="Y31" s="55"/>
      <c r="Z31" s="55"/>
    </row>
    <row r="32" spans="1:26" ht="19.5" customHeight="1" x14ac:dyDescent="0.25">
      <c r="A32" s="85" t="s">
        <v>100</v>
      </c>
      <c r="B32" s="86"/>
      <c r="C32" s="87" t="s">
        <v>101</v>
      </c>
      <c r="D32" s="76"/>
      <c r="E32" s="76"/>
      <c r="F32" s="76"/>
      <c r="G32" s="76"/>
      <c r="H32" s="76"/>
      <c r="I32" s="76"/>
      <c r="J32" s="76"/>
      <c r="K32" s="83"/>
    </row>
    <row r="33" spans="1:11" ht="19.5" customHeight="1" x14ac:dyDescent="0.25">
      <c r="A33" s="85" t="s">
        <v>102</v>
      </c>
      <c r="B33" s="86"/>
      <c r="C33" s="87" t="s">
        <v>103</v>
      </c>
      <c r="D33" s="76"/>
      <c r="E33" s="76"/>
      <c r="F33" s="76"/>
      <c r="G33" s="76"/>
      <c r="H33" s="76"/>
      <c r="I33" s="76"/>
      <c r="J33" s="76"/>
      <c r="K33" s="83"/>
    </row>
    <row r="34" spans="1:11" ht="19.5" customHeight="1" x14ac:dyDescent="0.25">
      <c r="A34" s="88" t="s">
        <v>104</v>
      </c>
      <c r="B34" s="89"/>
      <c r="C34" s="90" t="s">
        <v>105</v>
      </c>
      <c r="D34" s="76"/>
      <c r="E34" s="76"/>
      <c r="F34" s="76"/>
      <c r="G34" s="76"/>
      <c r="H34" s="76"/>
      <c r="I34" s="76"/>
      <c r="J34" s="76"/>
      <c r="K34" s="83"/>
    </row>
    <row r="35" spans="1:11" ht="19.5" customHeight="1" x14ac:dyDescent="0.25">
      <c r="A35" s="91" t="s">
        <v>106</v>
      </c>
      <c r="B35" s="86"/>
      <c r="C35" s="90" t="s">
        <v>107</v>
      </c>
      <c r="D35" s="76"/>
      <c r="E35" s="76"/>
      <c r="F35" s="76"/>
      <c r="G35" s="76"/>
      <c r="H35" s="76"/>
      <c r="I35" s="76"/>
      <c r="J35" s="76"/>
      <c r="K35" s="83"/>
    </row>
    <row r="36" spans="1:11" ht="19.5" customHeight="1" x14ac:dyDescent="0.25">
      <c r="A36" s="92" t="s">
        <v>108</v>
      </c>
      <c r="B36" s="74"/>
      <c r="C36" s="93" t="s">
        <v>109</v>
      </c>
      <c r="D36" s="76"/>
      <c r="E36" s="76"/>
      <c r="F36" s="76"/>
      <c r="G36" s="76"/>
      <c r="H36" s="76"/>
      <c r="I36" s="76"/>
      <c r="J36" s="76"/>
      <c r="K36" s="83"/>
    </row>
    <row r="37" spans="1:11" ht="19.5" customHeight="1" x14ac:dyDescent="0.25"/>
    <row r="38" spans="1:11" ht="19.5" customHeight="1" x14ac:dyDescent="0.25">
      <c r="A38" s="94" t="s">
        <v>110</v>
      </c>
      <c r="B38" s="83"/>
      <c r="C38" s="95" t="s">
        <v>111</v>
      </c>
      <c r="D38" s="76"/>
      <c r="E38" s="76"/>
      <c r="F38" s="76"/>
      <c r="G38" s="76"/>
      <c r="H38" s="76"/>
      <c r="I38" s="76"/>
      <c r="J38" s="76"/>
      <c r="K38" s="83"/>
    </row>
    <row r="39" spans="1:11" ht="19.5" customHeight="1" x14ac:dyDescent="0.25">
      <c r="A39" s="94" t="s">
        <v>112</v>
      </c>
      <c r="B39" s="83"/>
      <c r="C39" s="95" t="s">
        <v>5</v>
      </c>
      <c r="D39" s="76"/>
      <c r="E39" s="76"/>
      <c r="F39" s="76"/>
      <c r="G39" s="76"/>
      <c r="H39" s="76"/>
      <c r="I39" s="76"/>
      <c r="J39" s="76"/>
      <c r="K39" s="83"/>
    </row>
    <row r="40" spans="1:11" ht="19.5" customHeight="1" x14ac:dyDescent="0.25">
      <c r="A40" s="94" t="s">
        <v>113</v>
      </c>
      <c r="B40" s="83"/>
      <c r="C40" s="95" t="s">
        <v>114</v>
      </c>
      <c r="D40" s="76"/>
      <c r="E40" s="76"/>
      <c r="F40" s="76"/>
      <c r="G40" s="76"/>
      <c r="H40" s="76"/>
      <c r="I40" s="76"/>
      <c r="J40" s="76"/>
      <c r="K40" s="83"/>
    </row>
    <row r="41" spans="1:11" ht="15.75" customHeight="1" x14ac:dyDescent="0.25"/>
    <row r="42" spans="1:11" ht="96.95" customHeight="1" x14ac:dyDescent="0.25">
      <c r="A42" s="104" t="s">
        <v>202</v>
      </c>
      <c r="B42" s="104"/>
      <c r="C42" s="105" t="s">
        <v>204</v>
      </c>
      <c r="D42" s="106"/>
      <c r="E42" s="106"/>
      <c r="F42" s="106"/>
      <c r="G42" s="106"/>
      <c r="H42" s="106"/>
      <c r="I42" s="106"/>
      <c r="J42" s="106"/>
      <c r="K42" s="106"/>
    </row>
    <row r="43" spans="1:11" ht="15.75" customHeight="1" x14ac:dyDescent="0.25">
      <c r="F43" s="26"/>
    </row>
    <row r="44" spans="1:11" ht="15.75" customHeight="1" x14ac:dyDescent="0.25">
      <c r="F44" s="26"/>
    </row>
    <row r="45" spans="1:11" ht="15.75" customHeight="1" x14ac:dyDescent="0.25">
      <c r="F45" s="26"/>
    </row>
    <row r="46" spans="1:11" ht="15.75" customHeight="1" x14ac:dyDescent="0.25">
      <c r="F46" s="26"/>
    </row>
    <row r="47" spans="1:11" ht="15.75" customHeight="1" x14ac:dyDescent="0.25"/>
    <row r="48" spans="1:11"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8">
    <mergeCell ref="A20:B20"/>
    <mergeCell ref="A21:B21"/>
    <mergeCell ref="A23:B23"/>
    <mergeCell ref="G23:K23"/>
    <mergeCell ref="A42:B42"/>
    <mergeCell ref="C42:K42"/>
    <mergeCell ref="A39:B39"/>
    <mergeCell ref="C39:K39"/>
    <mergeCell ref="A40:B40"/>
    <mergeCell ref="C40:K40"/>
    <mergeCell ref="A31:F31"/>
    <mergeCell ref="G31:K31"/>
    <mergeCell ref="A22:I22"/>
    <mergeCell ref="G24:K24"/>
    <mergeCell ref="G25:K25"/>
    <mergeCell ref="G26:K26"/>
    <mergeCell ref="G27:K27"/>
    <mergeCell ref="G28:K28"/>
    <mergeCell ref="A29:D29"/>
    <mergeCell ref="F29:K29"/>
    <mergeCell ref="A35:B35"/>
    <mergeCell ref="C35:K35"/>
    <mergeCell ref="A36:B36"/>
    <mergeCell ref="C36:K36"/>
    <mergeCell ref="A38:B38"/>
    <mergeCell ref="C38:K38"/>
    <mergeCell ref="A32:B32"/>
    <mergeCell ref="C32:K32"/>
    <mergeCell ref="A33:B33"/>
    <mergeCell ref="C33:K33"/>
    <mergeCell ref="A34:B34"/>
    <mergeCell ref="C34:K34"/>
    <mergeCell ref="E17:F17"/>
    <mergeCell ref="G17:H17"/>
    <mergeCell ref="E18:F18"/>
    <mergeCell ref="G18:H18"/>
    <mergeCell ref="E19:F19"/>
    <mergeCell ref="G19:H19"/>
    <mergeCell ref="A14:B14"/>
    <mergeCell ref="E14:F14"/>
    <mergeCell ref="G14:H14"/>
    <mergeCell ref="E16:F16"/>
    <mergeCell ref="G16:H16"/>
    <mergeCell ref="E15:F15"/>
    <mergeCell ref="G15:H15"/>
    <mergeCell ref="A13:I13"/>
    <mergeCell ref="A9:B9"/>
    <mergeCell ref="C9:K9"/>
    <mergeCell ref="A10:B10"/>
    <mergeCell ref="C10:K10"/>
    <mergeCell ref="A11:B11"/>
    <mergeCell ref="C11:K11"/>
    <mergeCell ref="A4:K4"/>
    <mergeCell ref="A5:K5"/>
    <mergeCell ref="A7:B7"/>
    <mergeCell ref="C7:K7"/>
    <mergeCell ref="A8:B8"/>
    <mergeCell ref="C8:K8"/>
  </mergeCells>
  <pageMargins left="0.5" right="0.5" top="0.25" bottom="0.25" header="0" footer="0"/>
  <pageSetup paperSize="9" scale="62" fitToHeight="0" orientation="landscape" r:id="rId1"/>
  <rowBreaks count="1" manualBreakCount="1">
    <brk id="30" max="10" man="1"/>
  </rowBreaks>
  <colBreaks count="1" manualBreakCount="1">
    <brk id="11"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84AEF-64ED-4F5D-BCFB-18710A41482B}">
  <sheetPr>
    <outlinePr summaryBelow="0" summaryRight="0"/>
  </sheetPr>
  <dimension ref="A1"/>
  <sheetViews>
    <sheetView view="pageBreakPreview" zoomScale="60" zoomScaleNormal="100" workbookViewId="0">
      <selection activeCell="P21" sqref="P21"/>
    </sheetView>
  </sheetViews>
  <sheetFormatPr defaultColWidth="14.42578125" defaultRowHeight="15" customHeight="1" x14ac:dyDescent="0.25"/>
  <cols>
    <col min="1" max="6" width="14.42578125" style="27"/>
    <col min="7" max="7" width="27.42578125" style="27" customWidth="1"/>
    <col min="8" max="16384" width="14.42578125" style="27"/>
  </cols>
  <sheetData/>
  <pageMargins left="0.25" right="0.25" top="0.75" bottom="0.75" header="0.3" footer="0.3"/>
  <pageSetup paperSize="9" scale="76"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showGridLines="0" view="pageBreakPreview" zoomScale="60" zoomScaleNormal="99" workbookViewId="0">
      <pane ySplit="6" topLeftCell="A18" activePane="bottomLeft" state="frozen"/>
      <selection pane="bottomLeft" activeCell="A7" sqref="A7:K11"/>
    </sheetView>
  </sheetViews>
  <sheetFormatPr defaultColWidth="14.42578125" defaultRowHeight="15" customHeight="1" x14ac:dyDescent="0.25"/>
  <cols>
    <col min="1" max="1" width="9.140625" customWidth="1"/>
    <col min="2" max="2" width="44.28515625" customWidth="1"/>
    <col min="3" max="3" width="9" customWidth="1"/>
    <col min="4" max="4" width="37.85546875" customWidth="1"/>
    <col min="5" max="8" width="15.85546875" customWidth="1"/>
    <col min="9" max="9" width="15" customWidth="1"/>
    <col min="10" max="10" width="12" customWidth="1"/>
    <col min="11" max="11" width="27.7109375" customWidth="1"/>
    <col min="12" max="12" width="4.28515625" customWidth="1"/>
    <col min="13" max="14" width="21.85546875" customWidth="1"/>
    <col min="15" max="15" width="20.5703125" customWidth="1"/>
    <col min="16" max="26" width="8.7109375" customWidth="1"/>
  </cols>
  <sheetData>
    <row r="1" spans="1:26" ht="44.25" customHeight="1" x14ac:dyDescent="0.25">
      <c r="A1" s="1"/>
      <c r="B1" s="1"/>
      <c r="C1" s="1"/>
      <c r="D1" s="1"/>
      <c r="E1" s="1"/>
      <c r="F1" s="1"/>
      <c r="G1" s="1"/>
      <c r="H1" s="1"/>
      <c r="I1" s="1"/>
      <c r="J1" s="1"/>
      <c r="K1" s="1"/>
      <c r="L1" s="1"/>
      <c r="M1" s="1"/>
      <c r="N1" s="1"/>
      <c r="O1" s="1"/>
      <c r="P1" s="1"/>
      <c r="Q1" s="1"/>
      <c r="R1" s="1"/>
      <c r="S1" s="1"/>
      <c r="T1" s="1"/>
      <c r="U1" s="1"/>
      <c r="V1" s="1"/>
      <c r="W1" s="1"/>
      <c r="X1" s="1"/>
      <c r="Y1" s="1"/>
      <c r="Z1" s="1"/>
    </row>
    <row r="2" spans="1:26" ht="14.25" customHeight="1" x14ac:dyDescent="0.25">
      <c r="A2" s="1"/>
      <c r="B2" s="1"/>
      <c r="C2" s="1"/>
      <c r="D2" s="1"/>
      <c r="E2" s="1"/>
      <c r="F2" s="1"/>
      <c r="G2" s="1"/>
      <c r="H2" s="1"/>
      <c r="I2" s="1"/>
      <c r="J2" s="1"/>
      <c r="K2" s="1"/>
      <c r="L2" s="1"/>
      <c r="M2" s="1"/>
      <c r="N2" s="1"/>
      <c r="O2" s="1"/>
      <c r="P2" s="1"/>
      <c r="Q2" s="1"/>
      <c r="R2" s="1"/>
      <c r="S2" s="1"/>
      <c r="T2" s="1"/>
      <c r="U2" s="1"/>
      <c r="V2" s="1"/>
      <c r="W2" s="1"/>
      <c r="X2" s="1"/>
      <c r="Y2" s="1"/>
      <c r="Z2" s="1"/>
    </row>
    <row r="3" spans="1:26" ht="14.25" customHeight="1" x14ac:dyDescent="0.25">
      <c r="A3" s="1"/>
      <c r="B3" s="1"/>
      <c r="C3" s="1"/>
      <c r="D3" s="1"/>
      <c r="E3" s="1"/>
      <c r="F3" s="1"/>
      <c r="G3" s="1"/>
      <c r="H3" s="1"/>
      <c r="I3" s="1"/>
      <c r="J3" s="1"/>
      <c r="K3" s="1"/>
      <c r="L3" s="1"/>
      <c r="M3" s="1"/>
      <c r="N3" s="1"/>
      <c r="O3" s="1"/>
      <c r="P3" s="1"/>
      <c r="Q3" s="1"/>
      <c r="R3" s="1"/>
      <c r="S3" s="1"/>
      <c r="T3" s="1"/>
      <c r="U3" s="1"/>
      <c r="V3" s="1"/>
      <c r="W3" s="1"/>
      <c r="X3" s="1"/>
      <c r="Y3" s="1"/>
      <c r="Z3" s="1"/>
    </row>
    <row r="4" spans="1:26" ht="39.75" customHeight="1" x14ac:dyDescent="0.25">
      <c r="A4" s="125" t="s">
        <v>0</v>
      </c>
      <c r="B4" s="110"/>
      <c r="C4" s="110"/>
      <c r="D4" s="110"/>
      <c r="E4" s="110"/>
      <c r="F4" s="110"/>
      <c r="G4" s="110"/>
      <c r="H4" s="110"/>
      <c r="I4" s="110"/>
      <c r="J4" s="110"/>
      <c r="K4" s="126"/>
      <c r="L4" s="1"/>
      <c r="M4" s="1"/>
      <c r="N4" s="1"/>
      <c r="O4" s="1"/>
      <c r="P4" s="1"/>
      <c r="Q4" s="1"/>
      <c r="R4" s="1"/>
      <c r="S4" s="1"/>
      <c r="T4" s="1"/>
      <c r="U4" s="1"/>
      <c r="V4" s="1"/>
      <c r="W4" s="1"/>
      <c r="X4" s="1"/>
      <c r="Y4" s="1"/>
      <c r="Z4" s="1"/>
    </row>
    <row r="5" spans="1:26" ht="19.5" customHeight="1" x14ac:dyDescent="0.25">
      <c r="A5" s="127" t="s">
        <v>1</v>
      </c>
      <c r="B5" s="110"/>
      <c r="C5" s="110"/>
      <c r="D5" s="110"/>
      <c r="E5" s="110"/>
      <c r="F5" s="110"/>
      <c r="G5" s="110"/>
      <c r="H5" s="110"/>
      <c r="I5" s="110"/>
      <c r="J5" s="110"/>
      <c r="K5" s="126"/>
      <c r="L5" s="1"/>
      <c r="M5" s="1"/>
      <c r="N5" s="1"/>
      <c r="O5" s="1"/>
      <c r="P5" s="1"/>
      <c r="Q5" s="1"/>
      <c r="R5" s="1"/>
      <c r="S5" s="1"/>
      <c r="T5" s="1"/>
      <c r="U5" s="1"/>
      <c r="V5" s="1"/>
      <c r="W5" s="1"/>
      <c r="X5" s="1"/>
      <c r="Y5" s="1"/>
      <c r="Z5" s="1"/>
    </row>
    <row r="6" spans="1:26" ht="19.5" customHeight="1" x14ac:dyDescent="0.25">
      <c r="A6" s="1"/>
      <c r="B6" s="1"/>
      <c r="C6" s="1"/>
      <c r="D6" s="1"/>
      <c r="E6" s="1"/>
      <c r="F6" s="1"/>
      <c r="G6" s="1"/>
      <c r="H6" s="1"/>
      <c r="I6" s="1"/>
      <c r="J6" s="1"/>
      <c r="K6" s="1"/>
      <c r="L6" s="1"/>
      <c r="M6" s="1"/>
      <c r="N6" s="1"/>
      <c r="O6" s="1"/>
      <c r="P6" s="1"/>
      <c r="Q6" s="1"/>
      <c r="R6" s="1"/>
      <c r="S6" s="1"/>
      <c r="T6" s="1"/>
      <c r="U6" s="1"/>
      <c r="V6" s="1"/>
      <c r="W6" s="1"/>
      <c r="X6" s="1"/>
      <c r="Y6" s="1"/>
      <c r="Z6" s="1"/>
    </row>
    <row r="7" spans="1:26" ht="19.5" customHeight="1" x14ac:dyDescent="0.25">
      <c r="A7" s="140" t="s">
        <v>2</v>
      </c>
      <c r="B7" s="141"/>
      <c r="C7" s="135" t="s">
        <v>3</v>
      </c>
      <c r="D7" s="136"/>
      <c r="E7" s="136"/>
      <c r="F7" s="136"/>
      <c r="G7" s="136"/>
      <c r="H7" s="136"/>
      <c r="I7" s="136"/>
      <c r="J7" s="136"/>
      <c r="K7" s="137"/>
      <c r="L7" s="2"/>
      <c r="M7" s="2"/>
      <c r="N7" s="2"/>
      <c r="O7" s="2"/>
      <c r="P7" s="2"/>
      <c r="Q7" s="2"/>
      <c r="R7" s="2"/>
      <c r="S7" s="2"/>
      <c r="T7" s="2"/>
      <c r="U7" s="2"/>
      <c r="V7" s="2"/>
      <c r="W7" s="2"/>
      <c r="X7" s="2"/>
      <c r="Y7" s="2"/>
      <c r="Z7" s="2"/>
    </row>
    <row r="8" spans="1:26" ht="19.5" customHeight="1" x14ac:dyDescent="0.25">
      <c r="A8" s="140" t="s">
        <v>4</v>
      </c>
      <c r="B8" s="141"/>
      <c r="C8" s="135" t="s">
        <v>5</v>
      </c>
      <c r="D8" s="136"/>
      <c r="E8" s="136"/>
      <c r="F8" s="136"/>
      <c r="G8" s="136"/>
      <c r="H8" s="136"/>
      <c r="I8" s="136"/>
      <c r="J8" s="136"/>
      <c r="K8" s="137"/>
      <c r="L8" s="2"/>
      <c r="M8" s="2"/>
      <c r="N8" s="2"/>
      <c r="O8" s="2"/>
      <c r="P8" s="2"/>
      <c r="Q8" s="2"/>
      <c r="R8" s="2"/>
      <c r="S8" s="2"/>
      <c r="T8" s="2"/>
      <c r="U8" s="2"/>
      <c r="V8" s="2"/>
      <c r="W8" s="2"/>
      <c r="X8" s="2"/>
      <c r="Y8" s="2"/>
      <c r="Z8" s="2"/>
    </row>
    <row r="9" spans="1:26" ht="19.5" customHeight="1" x14ac:dyDescent="0.25">
      <c r="A9" s="140" t="s">
        <v>6</v>
      </c>
      <c r="B9" s="141"/>
      <c r="C9" s="135" t="s">
        <v>145</v>
      </c>
      <c r="D9" s="136"/>
      <c r="E9" s="136"/>
      <c r="F9" s="136"/>
      <c r="G9" s="136"/>
      <c r="H9" s="136"/>
      <c r="I9" s="136"/>
      <c r="J9" s="136"/>
      <c r="K9" s="137"/>
      <c r="L9" s="2"/>
      <c r="M9" s="2"/>
      <c r="N9" s="2"/>
      <c r="O9" s="2"/>
      <c r="P9" s="2"/>
      <c r="Q9" s="2"/>
      <c r="R9" s="2"/>
      <c r="S9" s="2"/>
      <c r="T9" s="2"/>
      <c r="U9" s="2"/>
      <c r="V9" s="2"/>
      <c r="W9" s="2"/>
      <c r="X9" s="2"/>
      <c r="Y9" s="2"/>
      <c r="Z9" s="2"/>
    </row>
    <row r="10" spans="1:26" ht="19.5" customHeight="1" x14ac:dyDescent="0.25">
      <c r="A10" s="140" t="s">
        <v>7</v>
      </c>
      <c r="B10" s="141"/>
      <c r="C10" s="135" t="s">
        <v>8</v>
      </c>
      <c r="D10" s="136"/>
      <c r="E10" s="136"/>
      <c r="F10" s="136"/>
      <c r="G10" s="136"/>
      <c r="H10" s="136"/>
      <c r="I10" s="136"/>
      <c r="J10" s="136"/>
      <c r="K10" s="137"/>
      <c r="L10" s="2"/>
      <c r="M10" s="2"/>
      <c r="N10" s="2"/>
      <c r="O10" s="2"/>
      <c r="P10" s="2"/>
      <c r="Q10" s="2"/>
      <c r="R10" s="2"/>
      <c r="S10" s="2"/>
      <c r="T10" s="2"/>
      <c r="U10" s="2"/>
      <c r="V10" s="2"/>
      <c r="W10" s="2"/>
      <c r="X10" s="2"/>
      <c r="Y10" s="2"/>
      <c r="Z10" s="2"/>
    </row>
    <row r="11" spans="1:26" ht="19.5" customHeight="1" x14ac:dyDescent="0.25">
      <c r="A11" s="140" t="s">
        <v>9</v>
      </c>
      <c r="B11" s="141"/>
      <c r="C11" s="135" t="s">
        <v>10</v>
      </c>
      <c r="D11" s="136"/>
      <c r="E11" s="136"/>
      <c r="F11" s="136"/>
      <c r="G11" s="136"/>
      <c r="H11" s="136"/>
      <c r="I11" s="136"/>
      <c r="J11" s="136"/>
      <c r="K11" s="137"/>
      <c r="L11" s="2"/>
      <c r="M11" s="2"/>
      <c r="N11" s="2"/>
      <c r="O11" s="2"/>
      <c r="P11" s="2"/>
      <c r="Q11" s="2"/>
      <c r="R11" s="2"/>
      <c r="S11" s="2"/>
      <c r="T11" s="2"/>
      <c r="U11" s="2"/>
      <c r="V11" s="2"/>
      <c r="W11" s="2"/>
      <c r="X11" s="2"/>
      <c r="Y11" s="2"/>
      <c r="Z11" s="2"/>
    </row>
    <row r="12" spans="1:26" ht="19.5" customHeight="1"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s="27" customFormat="1" ht="21.75" customHeight="1" x14ac:dyDescent="0.25">
      <c r="A13" s="77" t="s">
        <v>201</v>
      </c>
      <c r="B13" s="77"/>
      <c r="C13" s="77"/>
      <c r="D13" s="77"/>
      <c r="E13" s="77"/>
      <c r="F13" s="77"/>
      <c r="G13" s="77"/>
      <c r="H13" s="77"/>
      <c r="I13" s="77"/>
      <c r="J13" s="53" t="s">
        <v>12</v>
      </c>
      <c r="K13" s="54">
        <v>0.7</v>
      </c>
      <c r="L13" s="26"/>
    </row>
    <row r="14" spans="1:26" ht="27" customHeight="1" x14ac:dyDescent="0.25">
      <c r="A14" s="109" t="s">
        <v>11</v>
      </c>
      <c r="B14" s="111"/>
      <c r="C14" s="3" t="s">
        <v>12</v>
      </c>
      <c r="D14" s="3" t="s">
        <v>13</v>
      </c>
      <c r="E14" s="124" t="s">
        <v>14</v>
      </c>
      <c r="F14" s="113"/>
      <c r="G14" s="124" t="s">
        <v>15</v>
      </c>
      <c r="H14" s="113"/>
      <c r="I14" s="3" t="s">
        <v>16</v>
      </c>
      <c r="J14" s="3" t="s">
        <v>17</v>
      </c>
      <c r="K14" s="3" t="s">
        <v>18</v>
      </c>
      <c r="L14" s="1"/>
      <c r="M14" s="4" t="s">
        <v>19</v>
      </c>
      <c r="N14" s="4" t="s">
        <v>20</v>
      </c>
      <c r="O14" s="4" t="s">
        <v>21</v>
      </c>
      <c r="P14" s="1"/>
      <c r="Q14" s="1"/>
      <c r="R14" s="1"/>
      <c r="S14" s="1"/>
      <c r="T14" s="1"/>
      <c r="U14" s="1"/>
      <c r="V14" s="1"/>
      <c r="W14" s="1"/>
      <c r="X14" s="1"/>
      <c r="Y14" s="1"/>
      <c r="Z14" s="1"/>
    </row>
    <row r="15" spans="1:26" ht="55.5" customHeight="1" x14ac:dyDescent="0.25">
      <c r="A15" s="5">
        <v>1</v>
      </c>
      <c r="B15" s="6" t="s">
        <v>22</v>
      </c>
      <c r="C15" s="7">
        <v>0.25</v>
      </c>
      <c r="D15" s="8">
        <v>100</v>
      </c>
      <c r="E15" s="108">
        <v>100</v>
      </c>
      <c r="F15" s="113"/>
      <c r="G15" s="108">
        <v>100</v>
      </c>
      <c r="H15" s="113"/>
      <c r="I15" s="9">
        <v>100</v>
      </c>
      <c r="J15" s="9">
        <v>5</v>
      </c>
      <c r="K15" s="9" t="s">
        <v>23</v>
      </c>
      <c r="L15" s="1"/>
      <c r="M15" s="10" t="s">
        <v>24</v>
      </c>
      <c r="N15" s="10" t="s">
        <v>25</v>
      </c>
      <c r="O15" s="10" t="s">
        <v>26</v>
      </c>
      <c r="P15" s="1"/>
      <c r="Q15" s="1"/>
      <c r="R15" s="1"/>
      <c r="S15" s="1"/>
      <c r="T15" s="1"/>
      <c r="U15" s="1"/>
      <c r="V15" s="1"/>
      <c r="W15" s="1"/>
      <c r="X15" s="1"/>
      <c r="Y15" s="1"/>
      <c r="Z15" s="1"/>
    </row>
    <row r="16" spans="1:26" ht="38.25" customHeight="1" x14ac:dyDescent="0.25">
      <c r="A16" s="11">
        <v>2</v>
      </c>
      <c r="B16" s="12" t="s">
        <v>27</v>
      </c>
      <c r="C16" s="13">
        <v>0.25</v>
      </c>
      <c r="D16" s="8" t="s">
        <v>28</v>
      </c>
      <c r="E16" s="107" t="s">
        <v>29</v>
      </c>
      <c r="F16" s="113"/>
      <c r="G16" s="107" t="s">
        <v>30</v>
      </c>
      <c r="H16" s="113"/>
      <c r="I16" s="14" t="s">
        <v>31</v>
      </c>
      <c r="J16" s="14">
        <v>4</v>
      </c>
      <c r="K16" s="14" t="s">
        <v>32</v>
      </c>
      <c r="L16" s="1"/>
      <c r="M16" s="15" t="s">
        <v>33</v>
      </c>
      <c r="N16" s="15" t="s">
        <v>34</v>
      </c>
      <c r="O16" s="15" t="s">
        <v>35</v>
      </c>
      <c r="P16" s="1"/>
      <c r="Q16" s="1"/>
      <c r="R16" s="1"/>
      <c r="S16" s="1"/>
      <c r="T16" s="1"/>
      <c r="U16" s="1"/>
      <c r="V16" s="1"/>
      <c r="W16" s="1"/>
      <c r="X16" s="1"/>
      <c r="Y16" s="1"/>
      <c r="Z16" s="1"/>
    </row>
    <row r="17" spans="1:26" ht="60" customHeight="1" x14ac:dyDescent="0.25">
      <c r="A17" s="11">
        <v>3</v>
      </c>
      <c r="B17" s="12" t="s">
        <v>36</v>
      </c>
      <c r="C17" s="13">
        <v>0.2</v>
      </c>
      <c r="D17" s="8" t="s">
        <v>37</v>
      </c>
      <c r="E17" s="108" t="s">
        <v>38</v>
      </c>
      <c r="F17" s="113"/>
      <c r="G17" s="108" t="s">
        <v>39</v>
      </c>
      <c r="H17" s="113"/>
      <c r="I17" s="9" t="s">
        <v>31</v>
      </c>
      <c r="J17" s="9">
        <v>4</v>
      </c>
      <c r="K17" s="9" t="s">
        <v>32</v>
      </c>
      <c r="L17" s="1"/>
      <c r="M17" s="15" t="s">
        <v>40</v>
      </c>
      <c r="N17" s="15" t="s">
        <v>41</v>
      </c>
      <c r="O17" s="15" t="s">
        <v>42</v>
      </c>
      <c r="P17" s="1"/>
      <c r="Q17" s="1"/>
      <c r="R17" s="1"/>
      <c r="S17" s="1"/>
      <c r="T17" s="1"/>
      <c r="U17" s="1"/>
      <c r="V17" s="1"/>
      <c r="W17" s="1"/>
      <c r="X17" s="1"/>
      <c r="Y17" s="1"/>
      <c r="Z17" s="1"/>
    </row>
    <row r="18" spans="1:26" ht="56.25" customHeight="1" x14ac:dyDescent="0.25">
      <c r="A18" s="5">
        <v>4</v>
      </c>
      <c r="B18" s="6" t="s">
        <v>43</v>
      </c>
      <c r="C18" s="7">
        <v>0.15</v>
      </c>
      <c r="D18" s="8" t="s">
        <v>44</v>
      </c>
      <c r="E18" s="107" t="s">
        <v>45</v>
      </c>
      <c r="F18" s="113"/>
      <c r="G18" s="107" t="s">
        <v>46</v>
      </c>
      <c r="H18" s="113"/>
      <c r="I18" s="14" t="s">
        <v>31</v>
      </c>
      <c r="J18" s="14">
        <v>4</v>
      </c>
      <c r="K18" s="14" t="s">
        <v>47</v>
      </c>
      <c r="L18" s="1"/>
      <c r="M18" s="10" t="s">
        <v>48</v>
      </c>
      <c r="N18" s="10" t="s">
        <v>49</v>
      </c>
      <c r="O18" s="10" t="s">
        <v>50</v>
      </c>
      <c r="P18" s="1"/>
      <c r="Q18" s="1"/>
      <c r="R18" s="1"/>
      <c r="S18" s="1"/>
      <c r="T18" s="1"/>
      <c r="U18" s="1"/>
      <c r="V18" s="1"/>
      <c r="W18" s="1"/>
      <c r="X18" s="1"/>
      <c r="Y18" s="1"/>
      <c r="Z18" s="1"/>
    </row>
    <row r="19" spans="1:26" ht="56.25" customHeight="1" x14ac:dyDescent="0.25">
      <c r="A19" s="16">
        <v>5</v>
      </c>
      <c r="B19" s="6" t="s">
        <v>51</v>
      </c>
      <c r="C19" s="7">
        <v>0.15</v>
      </c>
      <c r="D19" s="8" t="s">
        <v>52</v>
      </c>
      <c r="E19" s="108" t="s">
        <v>53</v>
      </c>
      <c r="F19" s="113"/>
      <c r="G19" s="108" t="s">
        <v>54</v>
      </c>
      <c r="H19" s="113"/>
      <c r="I19" s="9" t="s">
        <v>31</v>
      </c>
      <c r="J19" s="9">
        <v>4</v>
      </c>
      <c r="K19" s="9" t="s">
        <v>55</v>
      </c>
      <c r="L19" s="1"/>
      <c r="M19" s="17"/>
      <c r="N19" s="17"/>
      <c r="O19" s="17"/>
      <c r="P19" s="1"/>
      <c r="Q19" s="1"/>
      <c r="R19" s="1"/>
      <c r="S19" s="1"/>
      <c r="T19" s="1"/>
      <c r="U19" s="1"/>
      <c r="V19" s="1"/>
      <c r="W19" s="1"/>
      <c r="X19" s="1"/>
      <c r="Y19" s="1"/>
      <c r="Z19" s="1"/>
    </row>
    <row r="20" spans="1:26" ht="19.5" customHeight="1" x14ac:dyDescent="0.25">
      <c r="A20" s="100" t="s">
        <v>56</v>
      </c>
      <c r="B20" s="101"/>
      <c r="C20" s="29" t="s">
        <v>57</v>
      </c>
      <c r="D20" s="35"/>
      <c r="E20" s="35"/>
      <c r="F20" s="35"/>
      <c r="G20" s="35"/>
      <c r="H20" s="35"/>
      <c r="I20" s="35"/>
      <c r="J20" s="52">
        <f>J15*C15+J16*C16+J17*C17+J18*C18+J19*C19</f>
        <v>4.25</v>
      </c>
      <c r="K20" s="35"/>
      <c r="L20" s="1"/>
      <c r="M20" s="1"/>
      <c r="N20" s="1"/>
      <c r="O20" s="1"/>
      <c r="P20" s="1"/>
      <c r="Q20" s="1"/>
      <c r="R20" s="1"/>
      <c r="S20" s="1"/>
      <c r="T20" s="1"/>
      <c r="U20" s="1"/>
      <c r="V20" s="1"/>
      <c r="W20" s="1"/>
      <c r="X20" s="1"/>
      <c r="Y20" s="1"/>
      <c r="Z20" s="1"/>
    </row>
    <row r="21" spans="1:26" ht="19.5" customHeight="1" x14ac:dyDescent="0.25">
      <c r="A21" s="122"/>
      <c r="B21" s="123"/>
      <c r="C21" s="1"/>
      <c r="D21" s="1"/>
      <c r="E21" s="1"/>
      <c r="F21" s="1"/>
      <c r="G21" s="1"/>
      <c r="H21" s="1"/>
      <c r="I21" s="1"/>
      <c r="J21" s="1"/>
      <c r="K21" s="1"/>
      <c r="L21" s="1"/>
      <c r="M21" s="1"/>
      <c r="N21" s="1"/>
      <c r="O21" s="1"/>
      <c r="P21" s="1"/>
      <c r="Q21" s="1"/>
      <c r="R21" s="1"/>
      <c r="S21" s="1"/>
      <c r="T21" s="1"/>
      <c r="U21" s="1"/>
      <c r="V21" s="1"/>
      <c r="W21" s="1"/>
      <c r="X21" s="1"/>
      <c r="Y21" s="1"/>
      <c r="Z21" s="1"/>
    </row>
    <row r="22" spans="1:26" s="27" customFormat="1" ht="21.75" customHeight="1" x14ac:dyDescent="0.25">
      <c r="A22" s="77" t="s">
        <v>58</v>
      </c>
      <c r="B22" s="77"/>
      <c r="C22" s="77"/>
      <c r="D22" s="77"/>
      <c r="E22" s="77"/>
      <c r="F22" s="77"/>
      <c r="G22" s="77"/>
      <c r="H22" s="77"/>
      <c r="I22" s="77"/>
      <c r="J22" s="53" t="s">
        <v>12</v>
      </c>
      <c r="K22" s="54">
        <v>0.3</v>
      </c>
    </row>
    <row r="23" spans="1:26" ht="29.25" customHeight="1" x14ac:dyDescent="0.25">
      <c r="A23" s="109" t="s">
        <v>59</v>
      </c>
      <c r="B23" s="111"/>
      <c r="C23" s="3" t="s">
        <v>12</v>
      </c>
      <c r="D23" s="3" t="s">
        <v>60</v>
      </c>
      <c r="E23" s="3" t="s">
        <v>61</v>
      </c>
      <c r="F23" s="3" t="s">
        <v>62</v>
      </c>
      <c r="G23" s="124" t="s">
        <v>63</v>
      </c>
      <c r="H23" s="79"/>
      <c r="I23" s="79"/>
      <c r="J23" s="79"/>
      <c r="K23" s="80"/>
      <c r="L23" s="1"/>
      <c r="M23" s="4" t="s">
        <v>19</v>
      </c>
      <c r="N23" s="4" t="s">
        <v>20</v>
      </c>
      <c r="O23" s="4" t="s">
        <v>21</v>
      </c>
      <c r="P23" s="1"/>
      <c r="Q23" s="1"/>
      <c r="R23" s="1"/>
      <c r="S23" s="1"/>
      <c r="T23" s="1"/>
      <c r="U23" s="1"/>
      <c r="V23" s="1"/>
      <c r="W23" s="1"/>
      <c r="X23" s="1"/>
      <c r="Y23" s="1"/>
      <c r="Z23" s="1"/>
    </row>
    <row r="24" spans="1:26" ht="48.75" customHeight="1" x14ac:dyDescent="0.25">
      <c r="A24" s="18">
        <v>1</v>
      </c>
      <c r="B24" s="19" t="s">
        <v>64</v>
      </c>
      <c r="C24" s="20" t="s">
        <v>65</v>
      </c>
      <c r="D24" s="10" t="s">
        <v>66</v>
      </c>
      <c r="E24" s="21">
        <v>4</v>
      </c>
      <c r="F24" s="9">
        <f t="shared" ref="F24:F28" si="0">IFERROR(VALUE(LEFT(C24,LEN(C24)-1))/100*E24,"")</f>
        <v>1</v>
      </c>
      <c r="G24" s="108" t="s">
        <v>67</v>
      </c>
      <c r="H24" s="79"/>
      <c r="I24" s="79"/>
      <c r="J24" s="79"/>
      <c r="K24" s="80"/>
      <c r="L24" s="1"/>
      <c r="M24" s="10" t="s">
        <v>68</v>
      </c>
      <c r="N24" s="10" t="s">
        <v>69</v>
      </c>
      <c r="O24" s="10" t="s">
        <v>70</v>
      </c>
      <c r="P24" s="1"/>
      <c r="Q24" s="1"/>
      <c r="R24" s="1"/>
      <c r="S24" s="1"/>
      <c r="T24" s="1"/>
      <c r="U24" s="1"/>
      <c r="V24" s="1"/>
      <c r="W24" s="1"/>
      <c r="X24" s="1"/>
      <c r="Y24" s="1"/>
      <c r="Z24" s="1"/>
    </row>
    <row r="25" spans="1:26" ht="57" customHeight="1" x14ac:dyDescent="0.25">
      <c r="A25" s="22">
        <v>2</v>
      </c>
      <c r="B25" s="23" t="s">
        <v>71</v>
      </c>
      <c r="C25" s="24" t="s">
        <v>65</v>
      </c>
      <c r="D25" s="15" t="s">
        <v>72</v>
      </c>
      <c r="E25" s="21">
        <v>4</v>
      </c>
      <c r="F25" s="14">
        <f t="shared" si="0"/>
        <v>1</v>
      </c>
      <c r="G25" s="107" t="s">
        <v>73</v>
      </c>
      <c r="H25" s="79"/>
      <c r="I25" s="79"/>
      <c r="J25" s="79"/>
      <c r="K25" s="80"/>
      <c r="L25" s="1"/>
      <c r="M25" s="15" t="s">
        <v>74</v>
      </c>
      <c r="N25" s="15" t="s">
        <v>75</v>
      </c>
      <c r="O25" s="15" t="s">
        <v>76</v>
      </c>
      <c r="P25" s="1"/>
      <c r="Q25" s="1"/>
      <c r="R25" s="1"/>
      <c r="S25" s="1"/>
      <c r="T25" s="1"/>
      <c r="U25" s="1"/>
      <c r="V25" s="1"/>
      <c r="W25" s="1"/>
      <c r="X25" s="1"/>
      <c r="Y25" s="1"/>
      <c r="Z25" s="1"/>
    </row>
    <row r="26" spans="1:26" ht="46.5" customHeight="1" x14ac:dyDescent="0.25">
      <c r="A26" s="18">
        <v>3</v>
      </c>
      <c r="B26" s="19" t="s">
        <v>77</v>
      </c>
      <c r="C26" s="20" t="s">
        <v>78</v>
      </c>
      <c r="D26" s="10" t="s">
        <v>79</v>
      </c>
      <c r="E26" s="21">
        <v>4</v>
      </c>
      <c r="F26" s="9">
        <f t="shared" si="0"/>
        <v>0.8</v>
      </c>
      <c r="G26" s="108" t="s">
        <v>80</v>
      </c>
      <c r="H26" s="79"/>
      <c r="I26" s="79"/>
      <c r="J26" s="79"/>
      <c r="K26" s="80"/>
      <c r="L26" s="1"/>
      <c r="M26" s="10" t="s">
        <v>81</v>
      </c>
      <c r="N26" s="10" t="s">
        <v>82</v>
      </c>
      <c r="O26" s="10" t="s">
        <v>83</v>
      </c>
      <c r="P26" s="1"/>
      <c r="Q26" s="1"/>
      <c r="R26" s="1"/>
      <c r="S26" s="1"/>
      <c r="T26" s="1"/>
      <c r="U26" s="1"/>
      <c r="V26" s="1"/>
      <c r="W26" s="1"/>
      <c r="X26" s="1"/>
      <c r="Y26" s="1"/>
      <c r="Z26" s="1"/>
    </row>
    <row r="27" spans="1:26" ht="45.75" customHeight="1" x14ac:dyDescent="0.25">
      <c r="A27" s="22">
        <v>4</v>
      </c>
      <c r="B27" s="23" t="s">
        <v>84</v>
      </c>
      <c r="C27" s="24" t="s">
        <v>85</v>
      </c>
      <c r="D27" s="15" t="s">
        <v>86</v>
      </c>
      <c r="E27" s="21">
        <v>4</v>
      </c>
      <c r="F27" s="14">
        <f t="shared" si="0"/>
        <v>0.6</v>
      </c>
      <c r="G27" s="107" t="s">
        <v>87</v>
      </c>
      <c r="H27" s="79"/>
      <c r="I27" s="79"/>
      <c r="J27" s="79"/>
      <c r="K27" s="80"/>
      <c r="L27" s="1"/>
      <c r="M27" s="15" t="s">
        <v>88</v>
      </c>
      <c r="N27" s="15" t="s">
        <v>89</v>
      </c>
      <c r="O27" s="15" t="s">
        <v>90</v>
      </c>
      <c r="P27" s="1"/>
      <c r="Q27" s="1"/>
      <c r="R27" s="1"/>
      <c r="S27" s="1"/>
      <c r="T27" s="1"/>
      <c r="U27" s="1"/>
      <c r="V27" s="1"/>
      <c r="W27" s="1"/>
      <c r="X27" s="1"/>
      <c r="Y27" s="1"/>
      <c r="Z27" s="1"/>
    </row>
    <row r="28" spans="1:26" ht="60" customHeight="1" x14ac:dyDescent="0.25">
      <c r="A28" s="18">
        <v>5</v>
      </c>
      <c r="B28" s="19" t="s">
        <v>91</v>
      </c>
      <c r="C28" s="20" t="s">
        <v>85</v>
      </c>
      <c r="D28" s="10" t="s">
        <v>92</v>
      </c>
      <c r="E28" s="21">
        <v>5</v>
      </c>
      <c r="F28" s="14">
        <f t="shared" si="0"/>
        <v>0.75</v>
      </c>
      <c r="G28" s="108" t="s">
        <v>93</v>
      </c>
      <c r="H28" s="79"/>
      <c r="I28" s="79"/>
      <c r="J28" s="79"/>
      <c r="K28" s="80"/>
      <c r="L28" s="1"/>
      <c r="M28" s="10" t="s">
        <v>94</v>
      </c>
      <c r="N28" s="10" t="s">
        <v>95</v>
      </c>
      <c r="O28" s="10" t="s">
        <v>96</v>
      </c>
      <c r="P28" s="1"/>
      <c r="Q28" s="1"/>
      <c r="R28" s="1"/>
      <c r="S28" s="1"/>
      <c r="T28" s="1"/>
      <c r="U28" s="1"/>
      <c r="V28" s="1"/>
      <c r="W28" s="1"/>
      <c r="X28" s="1"/>
      <c r="Y28" s="1"/>
      <c r="Z28" s="1"/>
    </row>
    <row r="29" spans="1:26" ht="19.5" customHeight="1" x14ac:dyDescent="0.25">
      <c r="A29" s="109" t="s">
        <v>97</v>
      </c>
      <c r="B29" s="110"/>
      <c r="C29" s="110"/>
      <c r="D29" s="111"/>
      <c r="E29" s="25">
        <f>SUM(F24:F28)</f>
        <v>4.1500000000000004</v>
      </c>
      <c r="F29" s="112" t="s">
        <v>98</v>
      </c>
      <c r="G29" s="79"/>
      <c r="H29" s="79"/>
      <c r="I29" s="79"/>
      <c r="J29" s="79"/>
      <c r="K29" s="113"/>
      <c r="L29" s="1"/>
      <c r="M29" s="1"/>
      <c r="N29" s="1"/>
      <c r="O29" s="1"/>
      <c r="P29" s="1"/>
      <c r="Q29" s="1"/>
      <c r="R29" s="1"/>
      <c r="S29" s="1"/>
      <c r="T29" s="1"/>
      <c r="U29" s="1"/>
      <c r="V29" s="1"/>
      <c r="W29" s="1"/>
      <c r="X29" s="1"/>
      <c r="Y29" s="1"/>
      <c r="Z29" s="1"/>
    </row>
    <row r="30" spans="1:26" ht="19.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21.75" customHeight="1" x14ac:dyDescent="0.25">
      <c r="A31" s="97" t="s">
        <v>99</v>
      </c>
      <c r="B31" s="97"/>
      <c r="C31" s="97"/>
      <c r="D31" s="97"/>
      <c r="E31" s="97"/>
      <c r="F31" s="97"/>
      <c r="G31" s="98">
        <f>E29*K13+J20*K22</f>
        <v>4.18</v>
      </c>
      <c r="H31" s="98"/>
      <c r="I31" s="98"/>
      <c r="J31" s="98"/>
      <c r="K31" s="98"/>
      <c r="L31" s="1"/>
      <c r="M31" s="1"/>
      <c r="N31" s="1"/>
      <c r="O31" s="1"/>
      <c r="P31" s="1"/>
      <c r="Q31" s="1"/>
      <c r="R31" s="1"/>
      <c r="S31" s="1"/>
      <c r="T31" s="1"/>
      <c r="U31" s="1"/>
      <c r="V31" s="1"/>
      <c r="W31" s="1"/>
      <c r="X31" s="1"/>
      <c r="Y31" s="1"/>
      <c r="Z31" s="1"/>
    </row>
    <row r="32" spans="1:26" ht="19.5" customHeight="1" x14ac:dyDescent="0.25">
      <c r="A32" s="115" t="s">
        <v>100</v>
      </c>
      <c r="B32" s="116"/>
      <c r="C32" s="114" t="s">
        <v>101</v>
      </c>
      <c r="D32" s="79"/>
      <c r="E32" s="79"/>
      <c r="F32" s="79"/>
      <c r="G32" s="79"/>
      <c r="H32" s="79"/>
      <c r="I32" s="79"/>
      <c r="J32" s="79"/>
      <c r="K32" s="113"/>
      <c r="L32" s="1"/>
      <c r="M32" s="1"/>
      <c r="N32" s="1"/>
      <c r="O32" s="1"/>
      <c r="P32" s="1"/>
      <c r="Q32" s="1"/>
      <c r="R32" s="1"/>
      <c r="S32" s="1"/>
      <c r="T32" s="1"/>
      <c r="U32" s="1"/>
      <c r="V32" s="1"/>
      <c r="W32" s="1"/>
      <c r="X32" s="1"/>
      <c r="Y32" s="1"/>
      <c r="Z32" s="1"/>
    </row>
    <row r="33" spans="1:26" ht="19.5" customHeight="1" x14ac:dyDescent="0.25">
      <c r="A33" s="115" t="s">
        <v>102</v>
      </c>
      <c r="B33" s="116"/>
      <c r="C33" s="114" t="s">
        <v>103</v>
      </c>
      <c r="D33" s="79"/>
      <c r="E33" s="79"/>
      <c r="F33" s="79"/>
      <c r="G33" s="79"/>
      <c r="H33" s="79"/>
      <c r="I33" s="79"/>
      <c r="J33" s="79"/>
      <c r="K33" s="113"/>
      <c r="L33" s="1"/>
      <c r="M33" s="1"/>
      <c r="N33" s="1"/>
      <c r="O33" s="1"/>
      <c r="P33" s="1"/>
      <c r="Q33" s="1"/>
      <c r="R33" s="1"/>
      <c r="S33" s="1"/>
      <c r="T33" s="1"/>
      <c r="U33" s="1"/>
      <c r="V33" s="1"/>
      <c r="W33" s="1"/>
      <c r="X33" s="1"/>
      <c r="Y33" s="1"/>
      <c r="Z33" s="1"/>
    </row>
    <row r="34" spans="1:26" ht="19.5" customHeight="1" x14ac:dyDescent="0.25">
      <c r="A34" s="117" t="s">
        <v>104</v>
      </c>
      <c r="B34" s="118"/>
      <c r="C34" s="119" t="s">
        <v>105</v>
      </c>
      <c r="D34" s="79"/>
      <c r="E34" s="79"/>
      <c r="F34" s="79"/>
      <c r="G34" s="79"/>
      <c r="H34" s="79"/>
      <c r="I34" s="79"/>
      <c r="J34" s="79"/>
      <c r="K34" s="113"/>
      <c r="L34" s="1"/>
      <c r="M34" s="1"/>
      <c r="N34" s="1"/>
      <c r="O34" s="1"/>
      <c r="P34" s="1"/>
      <c r="Q34" s="1"/>
      <c r="R34" s="1"/>
      <c r="S34" s="1"/>
      <c r="T34" s="1"/>
      <c r="U34" s="1"/>
      <c r="V34" s="1"/>
      <c r="W34" s="1"/>
      <c r="X34" s="1"/>
      <c r="Y34" s="1"/>
      <c r="Z34" s="1"/>
    </row>
    <row r="35" spans="1:26" ht="19.5" customHeight="1" x14ac:dyDescent="0.25">
      <c r="A35" s="120" t="s">
        <v>106</v>
      </c>
      <c r="B35" s="116"/>
      <c r="C35" s="119" t="s">
        <v>107</v>
      </c>
      <c r="D35" s="79"/>
      <c r="E35" s="79"/>
      <c r="F35" s="79"/>
      <c r="G35" s="79"/>
      <c r="H35" s="79"/>
      <c r="I35" s="79"/>
      <c r="J35" s="79"/>
      <c r="K35" s="113"/>
      <c r="L35" s="1"/>
      <c r="M35" s="1"/>
      <c r="N35" s="1"/>
      <c r="O35" s="1"/>
      <c r="P35" s="1"/>
      <c r="Q35" s="1"/>
      <c r="R35" s="1"/>
      <c r="S35" s="1"/>
      <c r="T35" s="1"/>
      <c r="U35" s="1"/>
      <c r="V35" s="1"/>
      <c r="W35" s="1"/>
      <c r="X35" s="1"/>
      <c r="Y35" s="1"/>
      <c r="Z35" s="1"/>
    </row>
    <row r="36" spans="1:26" ht="19.5" customHeight="1" x14ac:dyDescent="0.25">
      <c r="A36" s="128" t="s">
        <v>108</v>
      </c>
      <c r="B36" s="111"/>
      <c r="C36" s="121" t="s">
        <v>109</v>
      </c>
      <c r="D36" s="79"/>
      <c r="E36" s="79"/>
      <c r="F36" s="79"/>
      <c r="G36" s="79"/>
      <c r="H36" s="79"/>
      <c r="I36" s="79"/>
      <c r="J36" s="79"/>
      <c r="K36" s="113"/>
      <c r="L36" s="1"/>
      <c r="M36" s="1"/>
      <c r="N36" s="1"/>
      <c r="O36" s="1"/>
      <c r="P36" s="1"/>
      <c r="Q36" s="1"/>
      <c r="R36" s="1"/>
      <c r="S36" s="1"/>
      <c r="T36" s="1"/>
      <c r="U36" s="1"/>
      <c r="V36" s="1"/>
      <c r="W36" s="1"/>
      <c r="X36" s="1"/>
      <c r="Y36" s="1"/>
      <c r="Z36" s="1"/>
    </row>
    <row r="37" spans="1:26" ht="19.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9.5" customHeight="1" x14ac:dyDescent="0.25">
      <c r="A38" s="129" t="s">
        <v>110</v>
      </c>
      <c r="B38" s="113"/>
      <c r="C38" s="130" t="s">
        <v>111</v>
      </c>
      <c r="D38" s="79"/>
      <c r="E38" s="79"/>
      <c r="F38" s="79"/>
      <c r="G38" s="79"/>
      <c r="H38" s="79"/>
      <c r="I38" s="79"/>
      <c r="J38" s="79"/>
      <c r="K38" s="113"/>
      <c r="L38" s="1"/>
      <c r="M38" s="1"/>
      <c r="N38" s="1"/>
      <c r="O38" s="1"/>
      <c r="P38" s="1"/>
      <c r="Q38" s="1"/>
      <c r="R38" s="1"/>
      <c r="S38" s="1"/>
      <c r="T38" s="1"/>
      <c r="U38" s="1"/>
      <c r="V38" s="1"/>
      <c r="W38" s="1"/>
      <c r="X38" s="1"/>
      <c r="Y38" s="1"/>
      <c r="Z38" s="1"/>
    </row>
    <row r="39" spans="1:26" ht="19.5" customHeight="1" x14ac:dyDescent="0.25">
      <c r="A39" s="129" t="s">
        <v>112</v>
      </c>
      <c r="B39" s="113"/>
      <c r="C39" s="130" t="s">
        <v>5</v>
      </c>
      <c r="D39" s="79"/>
      <c r="E39" s="79"/>
      <c r="F39" s="79"/>
      <c r="G39" s="79"/>
      <c r="H39" s="79"/>
      <c r="I39" s="79"/>
      <c r="J39" s="79"/>
      <c r="K39" s="113"/>
      <c r="L39" s="1"/>
      <c r="M39" s="1"/>
      <c r="N39" s="1"/>
      <c r="O39" s="1"/>
      <c r="P39" s="1"/>
      <c r="Q39" s="1"/>
      <c r="R39" s="1"/>
      <c r="S39" s="1"/>
      <c r="T39" s="1"/>
      <c r="U39" s="1"/>
      <c r="V39" s="1"/>
      <c r="W39" s="1"/>
      <c r="X39" s="1"/>
      <c r="Y39" s="1"/>
      <c r="Z39" s="1"/>
    </row>
    <row r="40" spans="1:26" ht="19.5" customHeight="1" x14ac:dyDescent="0.25">
      <c r="A40" s="129" t="s">
        <v>113</v>
      </c>
      <c r="B40" s="113"/>
      <c r="C40" s="130" t="s">
        <v>114</v>
      </c>
      <c r="D40" s="79"/>
      <c r="E40" s="79"/>
      <c r="F40" s="79"/>
      <c r="G40" s="79"/>
      <c r="H40" s="79"/>
      <c r="I40" s="79"/>
      <c r="J40" s="79"/>
      <c r="K40" s="113"/>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69.95" customHeight="1" x14ac:dyDescent="0.25">
      <c r="A42" s="104" t="s">
        <v>202</v>
      </c>
      <c r="B42" s="104"/>
      <c r="C42" s="105" t="s">
        <v>205</v>
      </c>
      <c r="D42" s="106"/>
      <c r="E42" s="106"/>
      <c r="F42" s="106"/>
      <c r="G42" s="106"/>
      <c r="H42" s="106"/>
      <c r="I42" s="106"/>
      <c r="J42" s="106"/>
      <c r="K42" s="106"/>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8">
    <mergeCell ref="A13:I13"/>
    <mergeCell ref="A31:F31"/>
    <mergeCell ref="G31:K31"/>
    <mergeCell ref="A42:B42"/>
    <mergeCell ref="C42:K42"/>
    <mergeCell ref="A36:B36"/>
    <mergeCell ref="A38:B38"/>
    <mergeCell ref="A39:B39"/>
    <mergeCell ref="A40:B40"/>
    <mergeCell ref="C38:K38"/>
    <mergeCell ref="C39:K39"/>
    <mergeCell ref="C40:K40"/>
    <mergeCell ref="G23:K23"/>
    <mergeCell ref="G24:K24"/>
    <mergeCell ref="G25:K25"/>
    <mergeCell ref="G26:K26"/>
    <mergeCell ref="E16:F16"/>
    <mergeCell ref="G16:H16"/>
    <mergeCell ref="E17:F17"/>
    <mergeCell ref="G17:H17"/>
    <mergeCell ref="A22:I22"/>
    <mergeCell ref="E18:F18"/>
    <mergeCell ref="G18:H18"/>
    <mergeCell ref="E19:F19"/>
    <mergeCell ref="G19:H19"/>
    <mergeCell ref="A4:K4"/>
    <mergeCell ref="A5:K5"/>
    <mergeCell ref="A7:B7"/>
    <mergeCell ref="C7:K7"/>
    <mergeCell ref="A8:B8"/>
    <mergeCell ref="C8:K8"/>
    <mergeCell ref="C36:K36"/>
    <mergeCell ref="A9:B9"/>
    <mergeCell ref="A10:B10"/>
    <mergeCell ref="A11:B11"/>
    <mergeCell ref="A14:B14"/>
    <mergeCell ref="A20:B20"/>
    <mergeCell ref="A21:B21"/>
    <mergeCell ref="A23:B23"/>
    <mergeCell ref="C9:K9"/>
    <mergeCell ref="C10:K10"/>
    <mergeCell ref="C11:K11"/>
    <mergeCell ref="E14:F14"/>
    <mergeCell ref="G14:H14"/>
    <mergeCell ref="A32:B32"/>
    <mergeCell ref="E15:F15"/>
    <mergeCell ref="G15:H15"/>
    <mergeCell ref="A33:B33"/>
    <mergeCell ref="C33:K33"/>
    <mergeCell ref="A34:B34"/>
    <mergeCell ref="C34:K34"/>
    <mergeCell ref="A35:B35"/>
    <mergeCell ref="C35:K35"/>
    <mergeCell ref="G27:K27"/>
    <mergeCell ref="G28:K28"/>
    <mergeCell ref="A29:D29"/>
    <mergeCell ref="F29:K29"/>
    <mergeCell ref="C32:K32"/>
  </mergeCells>
  <pageMargins left="0.5" right="0.5" top="0.25" bottom="0.25" header="0" footer="0"/>
  <pageSetup paperSize="9" scale="62" fitToHeight="0" orientation="landscape" r:id="rId1"/>
  <rowBreaks count="1" manualBreakCount="1">
    <brk id="27" max="10" man="1"/>
  </rowBreaks>
  <colBreaks count="1" manualBreakCount="1">
    <brk id="11" max="1048575"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
  <sheetViews>
    <sheetView tabSelected="1" view="pageBreakPreview" zoomScale="60" zoomScaleNormal="100" workbookViewId="0">
      <selection activeCell="K16" sqref="K16"/>
    </sheetView>
  </sheetViews>
  <sheetFormatPr defaultColWidth="14.42578125" defaultRowHeight="15" customHeight="1" x14ac:dyDescent="0.25"/>
  <sheetData/>
  <pageMargins left="0.7" right="0.7" top="0.75" bottom="0.75" header="0.3" footer="0.3"/>
  <pageSetup paperSize="9" scale="8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vt:lpstr>
      <vt:lpstr>Duong-MTK</vt:lpstr>
      <vt:lpstr>Duong_Task Report</vt:lpstr>
      <vt:lpstr>Minh-Business</vt:lpstr>
      <vt:lpstr>Minh_Task Report</vt:lpstr>
      <vt:lpstr>Lam-MKT</vt:lpstr>
      <vt:lpstr>Lam_Task Report</vt:lpstr>
      <vt:lpstr>'Duong-MTK'!Print_Area</vt:lpstr>
      <vt:lpstr>'Lam-MKT'!Print_Area</vt:lpstr>
      <vt:lpstr>'Minh_Task Report'!Print_Area</vt:lpstr>
      <vt:lpstr>'Minh-Business'!Print_Area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Kim Nguyen</cp:lastModifiedBy>
  <cp:lastPrinted>2026-08-31T03:43:57Z</cp:lastPrinted>
  <dcterms:created xsi:type="dcterms:W3CDTF">2026-05-07T02:37:51Z</dcterms:created>
  <dcterms:modified xsi:type="dcterms:W3CDTF">2026-08-31T06:32:47Z</dcterms:modified>
</cp:coreProperties>
</file>